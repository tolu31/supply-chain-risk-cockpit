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1166D6B8-F2F2-4D7C-91DD-D3E6BE2111F6}" xr6:coauthVersionLast="47" xr6:coauthVersionMax="47" xr10:uidLastSave="{00000000-0000-0000-0000-000000000000}"/>
  <bookViews>
    <workbookView xWindow="-110" yWindow="-110" windowWidth="19420" windowHeight="10300" activeTab="4" xr2:uid="{3992E2BA-C037-40F3-849F-61BD59DE00D3}"/>
  </bookViews>
  <sheets>
    <sheet name="Project Overview" sheetId="3" r:id="rId1"/>
    <sheet name="Pivot Analysis" sheetId="1" r:id="rId2"/>
    <sheet name="ChartData" sheetId="6" r:id="rId3"/>
    <sheet name="PortRef" sheetId="5" r:id="rId4"/>
    <sheet name="Dashboard" sheetId="2" r:id="rId5"/>
    <sheet name="Engineering &amp; Insights" sheetId="4" r:id="rId6"/>
  </sheets>
  <definedNames>
    <definedName name="Slicer_Date">#N/A</definedName>
    <definedName name="Slicer_Product_Category">#N/A</definedName>
    <definedName name="Slicer_Route_Plausibility">#N/A</definedName>
    <definedName name="Slicer_Transport_Mode">#N/A</definedName>
    <definedName name="Slicer_Weather_Condition">#N/A</definedName>
  </definedNames>
  <calcPr calcId="191029"/>
  <pivotCaches>
    <pivotCache cacheId="135" r:id="rId7"/>
    <pivotCache cacheId="136" r:id="rId8"/>
    <pivotCache cacheId="137" r:id="rId9"/>
    <pivotCache cacheId="138" r:id="rId10"/>
    <pivotCache cacheId="139" r:id="rId11"/>
    <pivotCache cacheId="140" r:id="rId12"/>
    <pivotCache cacheId="141" r:id="rId13"/>
  </pivotCaches>
  <extLst>
    <ext xmlns:x14="http://schemas.microsoft.com/office/spreadsheetml/2009/9/main" uri="{876F7934-8845-4945-9796-88D515C7AA90}">
      <x14:pivotCaches>
        <pivotCache cacheId="142"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lobal_supply_chain_risk_2026_596cbb65-3487-4e3e-a992-6bd44afc2cc3" name="global_supply_chain_risk_2026" connection="Query - global_supply_chain_risk_2026"/>
          <x15:modelTable id="PortRef 1_35460c47-2363-4ead-bb19-9ba866fc986e" name="PortRef 1" connection="Query - PortRef"/>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2" l="1"/>
  <c r="G3" i="2"/>
  <c r="J3" i="2"/>
  <c r="M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F3C165-0285-49F2-A591-87E7243440BA}" name="Query - global_supply_chain_risk_2026" description="Connection to the 'global_supply_chain_risk_2026' query in the workbook." type="100" refreshedVersion="7" minRefreshableVersion="5">
    <extLst>
      <ext xmlns:x15="http://schemas.microsoft.com/office/spreadsheetml/2010/11/main" uri="{DE250136-89BD-433C-8126-D09CA5730AF9}">
        <x15:connection id="47ab33a1-861d-4099-86a1-d2d266b5f560"/>
      </ext>
    </extLst>
  </connection>
  <connection id="2" xr16:uid="{9EBAC943-00C9-407A-BE91-F7863D7657B3}" name="Query - PortRef" description="Connection to the 'PortRef' query in the workbook." type="100" refreshedVersion="7" minRefreshableVersion="5">
    <extLst>
      <ext xmlns:x15="http://schemas.microsoft.com/office/spreadsheetml/2010/11/main" uri="{DE250136-89BD-433C-8126-D09CA5730AF9}">
        <x15:connection id="a3d23288-049d-474d-95c9-de20dce502bc"/>
      </ext>
    </extLst>
  </connection>
  <connection id="3" xr16:uid="{86E62BA7-439F-4052-8F13-D63C8D24352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global_supply_chain_risk_2026].[Cross_Continent].[All]}"/>
    <s v="{[global_supply_chain_risk_2026].[Destination_Continent].[All]}"/>
    <s v="{[global_supply_chain_risk_2026].[Origin_Continent].[All]}"/>
    <s v="{[global_supply_chain_risk_2026].[Route_Plausibility].&amp;[OK]}"/>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<sst xmlns="http://schemas.openxmlformats.org/spreadsheetml/2006/main" count="242" uniqueCount="136">
  <si>
    <t>Avg_Lead_Time</t>
  </si>
  <si>
    <t>Avg_Reliability</t>
  </si>
  <si>
    <t>Total_Weight_MT</t>
  </si>
  <si>
    <t>Disruption_Rate_PCT</t>
  </si>
  <si>
    <t>Air</t>
  </si>
  <si>
    <t>Rail</t>
  </si>
  <si>
    <t>Road</t>
  </si>
  <si>
    <t>Sea</t>
  </si>
  <si>
    <t>Clear</t>
  </si>
  <si>
    <t>Fog</t>
  </si>
  <si>
    <t>Hurricane</t>
  </si>
  <si>
    <t>Rain</t>
  </si>
  <si>
    <t>Storm</t>
  </si>
  <si>
    <t>Automotive</t>
  </si>
  <si>
    <t>Electronics</t>
  </si>
  <si>
    <t>Perishables</t>
  </si>
  <si>
    <t>Pharmaceuticals</t>
  </si>
  <si>
    <t>Textiles</t>
  </si>
  <si>
    <t>Sum of Distance_km</t>
  </si>
  <si>
    <t>Transport Mode</t>
  </si>
  <si>
    <t>Weather</t>
  </si>
  <si>
    <t>Product</t>
  </si>
  <si>
    <t>Avg Lead Time (Days)</t>
  </si>
  <si>
    <t>Total Weight (MT)</t>
  </si>
  <si>
    <t>Global Disruption Rate</t>
  </si>
  <si>
    <t>Fuel Price Index</t>
  </si>
  <si>
    <t>Antwerp</t>
  </si>
  <si>
    <t>Busan</t>
  </si>
  <si>
    <t>Dubai</t>
  </si>
  <si>
    <t>Hamburg</t>
  </si>
  <si>
    <t>Los Angeles</t>
  </si>
  <si>
    <t>Rotterdam</t>
  </si>
  <si>
    <t>Shanghai</t>
  </si>
  <si>
    <t>Singapore</t>
  </si>
  <si>
    <t>Average of Geopolitical_Risk_Score</t>
  </si>
  <si>
    <t>Origin Port</t>
  </si>
  <si>
    <t>EXECUTIVE SUMMARY &amp; BRIEF</t>
  </si>
  <si>
    <t>📌 Project Identity</t>
  </si>
  <si>
    <t>🔎 The Business Problem</t>
  </si>
  <si>
    <t>Modern supply chains are highly vulnerable to volatile external events like extreme weather, geopolitical border tensions, and fuel price market fluctuations. Standard flat reports fail because they hide systemic risk patterns inside aggregate totals. </t>
  </si>
  <si>
    <t>This cockpit was engineered to solve three major visibility gaps: </t>
  </si>
  <si>
    <t>🏗️ Architectural Framework</t>
  </si>
  <si>
    <t>To ensure elite data integrity, the workbook is divided into a strict three-tier architecture: </t>
  </si>
  <si>
    <t>Project Name: Enterprise Supply Chain Risk &amp; Operational Logistics Cockpit </t>
  </si>
  <si>
    <t>Target Audience: Chief Operating Officer (COO), VP of Supply Chain, Logistics Directors </t>
  </si>
  <si>
    <t>2. Environmental Friction: Quantifying exactly how bad weather delays different transit networks. </t>
  </si>
  <si>
    <t>Tier 3: Executive Interaction Interface (Dashboard Canvas): A clean, single-screen UI layout engineered with strict visual hierarchy rules to present macro milestones alongside diagnostic deep dives without requiring any scrolling. </t>
  </si>
  <si>
    <t>TECHNICAL METRICS &amp; INTEL ANALYSIS</t>
  </si>
  <si>
    <t>🛠️ Data Engineering &amp; Standardization Methods</t>
  </si>
  <si>
    <t>📈 Calculations Solved (The DAX Model)</t>
  </si>
  <si>
    <t>📊 Core Insights &amp; Strategic Recommendations</t>
  </si>
  <si>
    <t>A deep audit of the responsive visuals reveals critical, high-value patterns across our logistical networks: </t>
  </si>
  <si>
    <t>1. Weather Resilience Dynamics</t>
  </si>
  <si>
    <t xml:space="preserve">Weather Resilience Matrix  </t>
  </si>
  <si>
    <t>KPI CARDS</t>
  </si>
  <si>
    <t>Product Weight Vs. Distance Combo</t>
  </si>
  <si>
    <t>Fuel Price Bracket</t>
  </si>
  <si>
    <t>Geopolitical Risk Across Transport Mode</t>
  </si>
  <si>
    <t>2. Fuel Price Sensitivity by Mode</t>
  </si>
  <si>
    <t>Core Objective: To transform 5,000 shipment-level transaction records into an interactive Excel dashboard that helps identify shipping bottlenecks, geopolitical exposure, carrier reliability gaps, and fuel-price sensitivity — while explicitly surfacing and stress-testing data quality issues rather than treating the source data as ground truth.</t>
  </si>
  <si>
    <t>4. Data Trust: Verifying that operational fields like Transport_Mode are reliable enough to base mode-level decisions on, rather than assuming every field in the source log is accurate.</t>
  </si>
  <si>
    <t>Because Disruption_Occurred is a binary flag (1 = disruption, 0 = clear transit), =AVERAGE(LogisticsData[Disruption_Occurred]) returns the disruption rate directly as a percentage across any filtered dimension — avoiding a slower or more complex COUNTIFS-based approach.</t>
  </si>
  <si>
    <t>3. Cargo Weight by Product Category</t>
  </si>
  <si>
    <t>4. Mode/Route Data Quality Flag</t>
  </si>
  <si>
    <t>Tier 1: Immutable Source Layer (Raw Data): is preserved separately in the source file global_supply_chain_risk_2026.csv, included alongside this workbook</t>
  </si>
  <si>
    <t>Port</t>
  </si>
  <si>
    <t>Continent</t>
  </si>
  <si>
    <t>Asia</t>
  </si>
  <si>
    <t>MiddleEast</t>
  </si>
  <si>
    <t>Europe</t>
  </si>
  <si>
    <t>Marseille</t>
  </si>
  <si>
    <t>NorthAmerica</t>
  </si>
  <si>
    <t>Route_Plausibility</t>
  </si>
  <si>
    <t>All</t>
  </si>
  <si>
    <t>Cross_Continent</t>
  </si>
  <si>
    <t>Destination_Continent</t>
  </si>
  <si>
    <t>Origin_Continent</t>
  </si>
  <si>
    <t>Sample_n</t>
  </si>
  <si>
    <t>High Index (&gt;3.5)</t>
  </si>
  <si>
    <t>Low Index (1.0–2.0)</t>
  </si>
  <si>
    <t>Mid Index (2.0–3.5)</t>
  </si>
  <si>
    <t>OK</t>
  </si>
  <si>
    <t>On the full dataset, Rail appears fuel-sensitive: reliability falls from 77.5% at Low Index to 74.9% at High Index (2.6-point decline). After filtering to Route_Plausibility = "OK" (n = 299 Rail shipments across the three brackets), the pattern reverses — 75% → 76% → 77%. The apparent full-dataset decline was driven by records with implausible mode/route combinations. Sample sizes on the clean subset are small (79–128 per bracket), so the conclusion is: no detectable fuel-price effect on Rail reliability once the data is cleaned. Air and Road remain flat on both subsets.</t>
  </si>
  <si>
    <t>Two flags exist. The narrow flag (Mode_Route_Flag: Rail or Road with Distance_km &gt; 3,000) captures 1,982 records (39.6% of the dataset). The broad flag (Route_Plausibility: Rail or Road on a cross-continent route, regardless of stated distance) captures 1,828 records (36.6% of the dataset). The two flags disagree on 154 records in either direction:</t>
  </si>
  <si>
    <t>ii. 154 records flagged by the broad rule but not the narrow rule: short cross-continent Rail/Road, e.g. SC-10515 Los Angeles→Rotterdam Road at 882 km, SC-10332 Busan→Rotterdam Road at 708 km, SC-14155 Los Angeles→Dubai Rail at 687 km.</t>
  </si>
  <si>
    <t>i. 154 records flagged by the narrow rule but not the broad rule: long intra-continent Rail/Road routes, e.g. Shanghai↔Rotterdam Rail (Eurasian land bridge — genuinely plausible) or long domestic Rail legs</t>
  </si>
  <si>
    <r>
      <rPr>
        <b/>
        <sz val="11"/>
        <color theme="1"/>
        <rFont val="Calibri"/>
        <family val="2"/>
        <scheme val="minor"/>
      </rPr>
      <t>Recommendation</t>
    </r>
    <r>
      <rPr>
        <sz val="11"/>
        <color theme="1"/>
        <rFont val="Calibri"/>
        <family val="2"/>
        <scheme val="minor"/>
      </rPr>
      <t>: The narrow flag undercounts the problem — it lets dozens of physically impossible short cross-continent Rail/Road records through. Flag this pattern with the source logging system; it is a data pipeline issue, not an operational one.</t>
    </r>
  </si>
  <si>
    <t>Row Labels</t>
  </si>
  <si>
    <t>Grand Total</t>
  </si>
  <si>
    <t>Avg_Distance</t>
  </si>
  <si>
    <t>Avg_Weight</t>
  </si>
  <si>
    <t>Label</t>
  </si>
  <si>
    <t>Automotive – Air</t>
  </si>
  <si>
    <t>Automotive – Rail</t>
  </si>
  <si>
    <t>Automotive – Road</t>
  </si>
  <si>
    <t>Automotive – Sea</t>
  </si>
  <si>
    <t>Electronics – Air</t>
  </si>
  <si>
    <t>Electronics – Rail</t>
  </si>
  <si>
    <t>Electronics – Road</t>
  </si>
  <si>
    <t>Electronics – Sea</t>
  </si>
  <si>
    <t>Perishables – Air</t>
  </si>
  <si>
    <t>Perishables – Rail</t>
  </si>
  <si>
    <t>Perishables – Road</t>
  </si>
  <si>
    <t>Perishables – Sea</t>
  </si>
  <si>
    <t>Pharmaceuticals – Air</t>
  </si>
  <si>
    <t>Pharmaceuticals – Rail</t>
  </si>
  <si>
    <t>Pharmaceuticals – Road</t>
  </si>
  <si>
    <t>Pharmaceuticals – Sea</t>
  </si>
  <si>
    <t>Textiles – Air</t>
  </si>
  <si>
    <t>Textiles – Rail</t>
  </si>
  <si>
    <t>Textiles – Road</t>
  </si>
  <si>
    <t>Textiles – Sea</t>
  </si>
  <si>
    <t>Two distinct clusters emerge:</t>
  </si>
  <si>
    <r>
      <rPr>
        <b/>
        <sz val="11"/>
        <color theme="1"/>
        <rFont val="Calibri"/>
        <family val="2"/>
        <scheme val="minor"/>
      </rPr>
      <t>B</t>
    </r>
    <r>
      <rPr>
        <sz val="11"/>
        <color theme="1"/>
        <rFont val="Calibri"/>
        <family val="2"/>
        <scheme val="minor"/>
      </rPr>
      <t>. The bubble chart on the Dashboard plots average shipment weight (Y-axis, MT) against average distance (X-axis, km) per product × mode combination, sized by shipment count.</t>
    </r>
  </si>
  <si>
    <t>Bulk logistics — Perishables, Textiles, and Pharmaceuticals shipped by Sea cluster in the heavy + long-distance quadrant (avg weight 234–255 MT, avg distance 7,400–7,800 km, n ≈ 250–265 per combo)</t>
  </si>
  <si>
    <t>Express logistics — Electronics and Automotive shipped by Air cluster in the lighter + shorter quadrant (avg weight 241–246 MT, avg distance 7,900–8,000 km, n ≈ 244–285 per combo).</t>
  </si>
  <si>
    <t>The interesting finding is that the "high-value product → Air" assumption only holds directionally. Electronics and Automotive do lean Air, but their average weight is only marginally lower than the Sea-shipped bulk categories. The real differentiator is distance and shipment count, not weight. Mode selection in this dataset is driven by route geography, not cargo value density.</t>
  </si>
  <si>
    <r>
      <rPr>
        <b/>
        <sz val="11"/>
        <color theme="1"/>
        <rFont val="Calibri"/>
        <family val="2"/>
        <scheme val="minor"/>
      </rPr>
      <t>Recommendation</t>
    </r>
    <r>
      <rPr>
        <sz val="11"/>
        <color theme="1"/>
        <rFont val="Calibri"/>
        <family val="2"/>
        <scheme val="minor"/>
      </rPr>
      <t>: Reserve Air capacity for Electronics and Automotive on trans-continental lanes where lead time matters. Textiles and Perishables have no weight penalty from Sea transit — lock them to Sea where schedule allows.</t>
    </r>
  </si>
  <si>
    <t>LIMITATIONS</t>
  </si>
  <si>
    <t>1. Route Blindspots: Identifying which transport modes and origin-destination corridors fail to meet operational targets under stress, given the absence  of carrier-level identifiers in the source data</t>
  </si>
  <si>
    <t xml:space="preserve">Global Logistics Operations &amp; Risk Intelligence Dashboard </t>
  </si>
  <si>
    <t xml:space="preserve">The source data arrived largely clean: zero duplicate Shipment_IDs, zero missing values, and consistent text casing across all categorical fields — verified directly, not assumed. Two data quality issues were identified and flagged rather than corrected:                                                                                                                                                                                                 </t>
  </si>
  <si>
    <t>(a) Mode/Route mismatch. 1,828 records (36.6%) assign Rail or Road to cross- continent routes — physically impossible for those modes (e.g. Singapore→ Los Angeles logged as Rail). A broader flag, Route_Plausibility, captures this. A narrower rule — Rail/Road with Distance_km &gt; 3,000 — captures 1,982 records (39.6%) and misses short cross-continent entries. Both flags are surfaced as slicers so every chart can be toggled between the full dataset and the plausible-only subset.</t>
  </si>
  <si>
    <t>(b) Lead time sentinel. Lead_Time_Days contains a 0.5-day floor value across all four modes. This is likely a data-entry default rather than a measured duration. It was not excluded from averages; treat sub-1-day lead times with caution.</t>
  </si>
  <si>
    <t>On the methodological side, Rail's original 2.6-point reliability decline (77.5% → 74.9% on the full dataset) does not survive cleaning. On the plausible-only subset (n = 299 Rail shipments), reliability moves 75% → 76% → 77% across Low / Mid / High Index — inside noise given n = 79–128 per bracket. The original claim is withdrawn and retained here as a demonstration of the stress-testing process. Finally, Lead_Time_Days contains a 0.5-day sentinel value on 409 records (8.2% of the dataset) across all four modes. This is likely a data-entry floor rather than a measured duration. It was not excluded from averages; treat sub-1-day lead times with caution.</t>
  </si>
  <si>
    <t>Cargo Profile: Avg Weight vs Avg Distance by Product × Mode</t>
  </si>
  <si>
    <t>Tier 2: Relational Engine (Data Model): All processed records are housed directly inside Excel's native background Data Model to compress file memory footprints and optimize rapid multi-axis filtering calculations. Tier 2 also incorporates a small PortRef lookup table (port → continent) usedto derive Cross_Continent and Route_Plausibility flags.</t>
  </si>
  <si>
    <t>Hurricanes cause 100% disruption across every transport mode with no exceptions (n = 234–263 per mode). Clear weather sits at 35–44% disruption depending on mode, while Fog and Rain cluster in the 32–50% band.</t>
  </si>
  <si>
    <t>Under Storm conditions on the clean subset (Route_Plausibility = "OK"), Sea is the most affected (79.8% disruption) and Road the least (71.9%). Air and Rail sit close to Sea at 78.9% and 79.1%, respectively. This ranking differs from the full dataset, where Rail appeared most affected (82.1%) and Road least (77.4%) — the flagged records inflated Rail's storm sensitivity.</t>
  </si>
  <si>
    <r>
      <rPr>
        <b/>
        <sz val="11"/>
        <color theme="1"/>
        <rFont val="Calibri"/>
        <family val="2"/>
        <scheme val="minor"/>
      </rPr>
      <t>Recommendation</t>
    </r>
    <r>
      <rPr>
        <sz val="11"/>
        <color theme="1"/>
        <rFont val="Calibri"/>
        <family val="2"/>
        <scheme val="minor"/>
      </rPr>
      <t>: Road routing is the most weather-resilient mode under stormy conditions and should be the default for time-sensitive shipments during forecast storm windows. Hurricane exposure is categorical — any hurricane- category weather in the source data corresponds to total disruption — so contingency planning should treat hurricanes as a go/no-go, not a graded risk.</t>
    </r>
  </si>
  <si>
    <r>
      <rPr>
        <b/>
        <sz val="11"/>
        <color theme="1"/>
        <rFont val="Calibri"/>
        <family val="2"/>
        <scheme val="minor"/>
      </rPr>
      <t xml:space="preserve">A. </t>
    </r>
    <r>
      <rPr>
        <sz val="11"/>
        <color theme="1"/>
        <rFont val="Calibri"/>
        <family val="2"/>
        <scheme val="minor"/>
      </rPr>
      <t>On the clean subset, Automotive carries the highest average shipment weight (247.2 MT), followed by Perishables (246.8 MT), Textiles (245.1 MT), Electronics (244.8 MT), and Pharmaceuticals (243.9 MT). The original claim that Textiles carries the heaviest freight burden was based on the full dataset; the ranking changes once implausible mode/route records are removed, because those records were disproportionately weighted toward Textiles and Electronics.</t>
    </r>
  </si>
  <si>
    <r>
      <rPr>
        <b/>
        <sz val="11"/>
        <color theme="1"/>
        <rFont val="Calibri"/>
        <family val="2"/>
        <scheme val="minor"/>
      </rPr>
      <t xml:space="preserve">Recommendation: </t>
    </r>
    <r>
      <rPr>
        <sz val="11"/>
        <color theme="1"/>
        <rFont val="Calibri"/>
        <family val="2"/>
        <scheme val="minor"/>
      </rPr>
      <t>Base near-shoring and consolidation planning on the clean-subset numbers. Automotive and Perishables lead in weight; Textiles and Electronics are marginally lighter than the full-dataset average suggested. The gap between categories is under 4 MT — no category dominates</t>
    </r>
  </si>
  <si>
    <t>The analysis is constrained by what the source data actually contains. Hurricane disruption shows 100% across all modes (n = 234–263 per mode), but the dataset does not distinguish hurricane severity or proximity — the finding should be read as "hurricane-category weather equals total disruption," not as a graded effect. There is no cost field, so disruption rate is unweighted: a disruption on a 5 MT shipment counts the same as one on a 490 MT shipment. There is also no Carrier_ID, only a Carrier_Reliability_Score, so every reliability statement in this workbook is a route/mode reliability statement, not a carrier statement — the field should be renamed Route_Reliability_Score in the data model iteration. All fuel-price findings are correlational, with no control for route, season, or cargo type.</t>
  </si>
  <si>
    <t>Avg Reliability Score</t>
  </si>
  <si>
    <t>3. Financial Vulnerability: Examining whether reliability patterns change across different fuel-price environments and validating whether any observed relationship persists after data-quality filtering</t>
  </si>
  <si>
    <r>
      <rPr>
        <b/>
        <sz val="11"/>
        <color theme="1"/>
        <rFont val="Calibri"/>
        <family val="2"/>
        <scheme val="minor"/>
      </rPr>
      <t>Recommendation</t>
    </r>
    <r>
      <rPr>
        <sz val="11"/>
        <color theme="1"/>
        <rFont val="Calibri"/>
        <family val="2"/>
        <scheme val="minor"/>
      </rPr>
      <t>:  The full-dataset pattern was a data-quality artifact, not an operational signal. This is presented here as an example of a finding that did not survive validation. The full dataset initially suggested a relationship between higher fuel-price conditions and Rail reliability. After filtering questionable mode/route records, the relationship did not persist. The finding was therefore not treated as an operational conclusion.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</si>
</sst>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
  </numFmts>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theme="2" tint="-0.89999084444715716"/>
      <name val="Calibri"/>
      <family val="2"/>
      <scheme val="minor"/>
    </font>
    <font>
      <b/>
      <sz val="10"/>
      <color theme="2" tint="-0.89999084444715716"/>
      <name val="Calibri"/>
      <family val="2"/>
      <scheme val="minor"/>
    </font>
    <font>
      <b/>
      <sz val="16"/>
      <color theme="1"/>
      <name val="Calibri"/>
      <family val="2"/>
      <scheme val="minor"/>
    </font>
    <font>
      <sz val="14"/>
      <color theme="1"/>
      <name val="Calibri"/>
      <family val="2"/>
      <scheme val="minor"/>
    </font>
    <font>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4" tint="-0.249977111117893"/>
        <bgColor indexed="64"/>
      </patternFill>
    </fill>
  </fills>
  <borders count="1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7" fillId="0" borderId="0" applyFont="0" applyFill="0" applyBorder="0" applyAlignment="0" applyProtection="0"/>
  </cellStyleXfs>
  <cellXfs count="60">
    <xf numFmtId="0" fontId="0" fillId="0" borderId="0" xfId="0"/>
    <xf numFmtId="164" fontId="0" fillId="0" borderId="0" xfId="0" applyNumberFormat="1"/>
    <xf numFmtId="2"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3" fillId="0" borderId="0" xfId="0" applyFont="1"/>
    <xf numFmtId="0" fontId="1" fillId="0" borderId="0" xfId="0" applyFont="1"/>
    <xf numFmtId="0" fontId="4" fillId="0" borderId="0" xfId="0" applyFont="1"/>
    <xf numFmtId="0" fontId="0" fillId="4" borderId="0" xfId="0" applyFill="1"/>
    <xf numFmtId="0" fontId="0" fillId="4" borderId="0" xfId="0" applyFill="1" applyAlignment="1">
      <alignment vertical="top"/>
    </xf>
    <xf numFmtId="0" fontId="0" fillId="0" borderId="0" xfId="0"/>
    <xf numFmtId="166" fontId="0" fillId="0" borderId="0" xfId="0" applyNumberFormat="1"/>
    <xf numFmtId="0" fontId="0" fillId="0" borderId="0" xfId="0" applyAlignment="1">
      <alignment vertical="top" wrapText="1"/>
    </xf>
    <xf numFmtId="0" fontId="0" fillId="3" borderId="0" xfId="0" applyFill="1" applyAlignment="1">
      <alignment vertical="top" wrapText="1"/>
    </xf>
    <xf numFmtId="0" fontId="0" fillId="3" borderId="0" xfId="0" applyFill="1" applyAlignment="1">
      <alignment vertical="top"/>
    </xf>
    <xf numFmtId="0" fontId="0" fillId="3" borderId="0" xfId="0" applyFill="1"/>
    <xf numFmtId="0" fontId="6" fillId="3" borderId="0" xfId="0" applyFont="1" applyFill="1"/>
    <xf numFmtId="0" fontId="5" fillId="3" borderId="0" xfId="0" applyFont="1" applyFill="1"/>
    <xf numFmtId="0" fontId="0" fillId="3" borderId="0" xfId="0" applyFill="1" applyAlignment="1">
      <alignment wrapText="1"/>
    </xf>
    <xf numFmtId="0" fontId="1" fillId="0" borderId="0" xfId="0" applyFont="1" applyAlignment="1">
      <alignment vertical="top" wrapText="1"/>
    </xf>
    <xf numFmtId="0" fontId="0" fillId="0" borderId="0" xfId="0" applyAlignment="1">
      <alignment vertical="top" wrapText="1"/>
    </xf>
    <xf numFmtId="164" fontId="0" fillId="2" borderId="1" xfId="0" applyNumberFormat="1" applyFill="1" applyBorder="1"/>
    <xf numFmtId="164" fontId="0" fillId="2" borderId="2" xfId="0" applyNumberFormat="1" applyFill="1" applyBorder="1"/>
    <xf numFmtId="164" fontId="0" fillId="2" borderId="3" xfId="0" applyNumberFormat="1" applyFill="1" applyBorder="1"/>
    <xf numFmtId="164" fontId="0" fillId="2" borderId="4" xfId="0" applyNumberFormat="1" applyFill="1" applyBorder="1"/>
    <xf numFmtId="166" fontId="0" fillId="2" borderId="1" xfId="1" applyNumberFormat="1" applyFont="1" applyFill="1" applyBorder="1"/>
    <xf numFmtId="166" fontId="0" fillId="2" borderId="2" xfId="1" applyNumberFormat="1" applyFont="1" applyFill="1" applyBorder="1"/>
    <xf numFmtId="166" fontId="0" fillId="2" borderId="3" xfId="1" applyNumberFormat="1" applyFont="1" applyFill="1" applyBorder="1"/>
    <xf numFmtId="166" fontId="0" fillId="2" borderId="4" xfId="1" applyNumberFormat="1" applyFont="1" applyFill="1" applyBorder="1"/>
    <xf numFmtId="3" fontId="0" fillId="2" borderId="1" xfId="0" applyNumberFormat="1" applyFill="1" applyBorder="1"/>
    <xf numFmtId="3" fontId="0" fillId="2" borderId="2" xfId="0" applyNumberFormat="1" applyFill="1" applyBorder="1"/>
    <xf numFmtId="3" fontId="0" fillId="2" borderId="3" xfId="0" applyNumberFormat="1" applyFill="1" applyBorder="1"/>
    <xf numFmtId="3" fontId="0" fillId="2" borderId="4" xfId="0" applyNumberFormat="1" applyFill="1" applyBorder="1"/>
    <xf numFmtId="166" fontId="0" fillId="2" borderId="1" xfId="0" applyNumberFormat="1" applyFill="1" applyBorder="1"/>
    <xf numFmtId="166" fontId="0" fillId="2" borderId="2" xfId="0" applyNumberFormat="1" applyFill="1" applyBorder="1"/>
    <xf numFmtId="166" fontId="0" fillId="2" borderId="3" xfId="0" applyNumberFormat="1" applyFill="1" applyBorder="1"/>
    <xf numFmtId="166" fontId="0" fillId="2" borderId="4" xfId="0" applyNumberFormat="1" applyFill="1" applyBorder="1"/>
    <xf numFmtId="0" fontId="2" fillId="3" borderId="13" xfId="0" applyFont="1" applyFill="1" applyBorder="1" applyAlignment="1">
      <alignment horizontal="center" wrapText="1"/>
    </xf>
    <xf numFmtId="0" fontId="2" fillId="3" borderId="14" xfId="0" applyFont="1" applyFill="1" applyBorder="1" applyAlignment="1">
      <alignment horizontal="center" wrapText="1"/>
    </xf>
    <xf numFmtId="0" fontId="2" fillId="3" borderId="15" xfId="0" applyFont="1" applyFill="1" applyBorder="1" applyAlignment="1">
      <alignment horizontal="center" wrapText="1"/>
    </xf>
    <xf numFmtId="0" fontId="2" fillId="3" borderId="0" xfId="0" applyFont="1" applyFill="1" applyAlignment="1">
      <alignment vertical="top" wrapText="1"/>
    </xf>
    <xf numFmtId="0" fontId="5" fillId="3" borderId="0" xfId="0" applyFont="1" applyFill="1" applyAlignment="1">
      <alignment vertical="top" wrapText="1"/>
    </xf>
    <xf numFmtId="0" fontId="1" fillId="3" borderId="0" xfId="0" applyFont="1" applyFill="1" applyAlignment="1">
      <alignment vertical="top" wrapText="1"/>
    </xf>
    <xf numFmtId="0" fontId="0" fillId="5" borderId="0" xfId="0" applyFill="1"/>
    <xf numFmtId="0" fontId="1" fillId="3" borderId="0" xfId="0" applyFont="1" applyFill="1"/>
    <xf numFmtId="0" fontId="8" fillId="3" borderId="0" xfId="0" applyFont="1" applyFill="1" applyAlignment="1">
      <alignment vertical="top" wrapText="1"/>
    </xf>
    <xf numFmtId="0" fontId="0" fillId="3" borderId="5" xfId="0" applyFill="1" applyBorder="1" applyAlignment="1">
      <alignment vertical="top" wrapText="1"/>
    </xf>
    <xf numFmtId="0" fontId="0" fillId="3" borderId="6" xfId="0" applyFill="1" applyBorder="1" applyAlignment="1">
      <alignment vertical="top" wrapText="1"/>
    </xf>
    <xf numFmtId="0" fontId="0" fillId="3" borderId="7" xfId="0" applyFill="1" applyBorder="1" applyAlignment="1">
      <alignment vertical="top" wrapText="1"/>
    </xf>
    <xf numFmtId="0" fontId="0" fillId="3" borderId="8" xfId="0" applyFill="1" applyBorder="1" applyAlignment="1">
      <alignment vertical="top" wrapText="1"/>
    </xf>
    <xf numFmtId="0" fontId="0" fillId="3" borderId="0" xfId="0" applyFill="1" applyBorder="1" applyAlignment="1">
      <alignment vertical="top" wrapText="1"/>
    </xf>
    <xf numFmtId="0" fontId="0" fillId="3" borderId="9" xfId="0" applyFill="1" applyBorder="1" applyAlignment="1">
      <alignment vertical="top" wrapText="1"/>
    </xf>
    <xf numFmtId="0" fontId="0" fillId="3" borderId="10" xfId="0" applyFill="1" applyBorder="1" applyAlignment="1">
      <alignment vertical="top" wrapText="1"/>
    </xf>
    <xf numFmtId="0" fontId="0" fillId="3" borderId="11" xfId="0" applyFill="1" applyBorder="1" applyAlignment="1">
      <alignment vertical="top" wrapText="1"/>
    </xf>
    <xf numFmtId="0" fontId="0" fillId="3" borderId="12" xfId="0" applyFill="1" applyBorder="1" applyAlignment="1">
      <alignment vertical="top" wrapText="1"/>
    </xf>
    <xf numFmtId="9" fontId="0" fillId="0" borderId="0" xfId="0" applyNumberFormat="1"/>
  </cellXfs>
  <cellStyles count="2">
    <cellStyle name="Normal" xfId="0" builtinId="0"/>
    <cellStyle name="Percent" xfId="1" builtinId="5"/>
  </cellStyles>
  <dxfs count="6">
    <dxf>
      <numFmt numFmtId="13" formatCode="0%"/>
    </dxf>
    <dxf>
      <numFmt numFmtId="13" formatCode="0%"/>
    </dxf>
    <dxf>
      <numFmt numFmtId="13" formatCode="0%"/>
    </dxf>
    <dxf>
      <font>
        <b/>
        <i val="0"/>
        <strike val="0"/>
        <condense val="0"/>
        <extend val="0"/>
        <outline val="0"/>
        <shadow val="0"/>
        <u val="none"/>
        <vertAlign val="baseline"/>
        <sz val="11"/>
        <color theme="1"/>
        <name val="Calibri"/>
        <family val="2"/>
        <scheme val="minor"/>
      </font>
    </dxf>
    <dxf>
      <numFmt numFmtId="166" formatCode="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4.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4.xml"/><Relationship Id="rId19" Type="http://schemas.microsoft.com/office/2007/relationships/slicerCache" Target="slicerCaches/slicerCache5.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[Global_Logistics_Risk_Dashboard.xlsx]Pivot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Disruption Rate by Transport Mode &amp; Weather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Analysis'!$G$6:$G$7</c:f>
              <c:strCache>
                <c:ptCount val="1"/>
                <c:pt idx="0">
                  <c:v>Clear</c:v>
                </c:pt>
              </c:strCache>
            </c:strRef>
          </c:tx>
          <c:spPr>
            <a:solidFill>
              <a:schemeClr val="accent1"/>
            </a:solidFill>
            <a:ln>
              <a:noFill/>
            </a:ln>
            <a:effectLst/>
          </c:spPr>
          <c:invertIfNegative val="0"/>
          <c:cat>
            <c:strRef>
              <c:f>'Pivot Analysis'!$F$8:$F$11</c:f>
              <c:strCache>
                <c:ptCount val="4"/>
                <c:pt idx="0">
                  <c:v>Air</c:v>
                </c:pt>
                <c:pt idx="1">
                  <c:v>Rail</c:v>
                </c:pt>
                <c:pt idx="2">
                  <c:v>Road</c:v>
                </c:pt>
                <c:pt idx="3">
                  <c:v>Sea</c:v>
                </c:pt>
              </c:strCache>
            </c:strRef>
          </c:cat>
          <c:val>
            <c:numRef>
              <c:f>'Pivot Analysis'!$G$8:$G$11</c:f>
              <c:numCache>
                <c:formatCode>0.0%;\-0.0%;0.0%</c:formatCode>
                <c:ptCount val="4"/>
                <c:pt idx="0">
                  <c:v>0.35</c:v>
                </c:pt>
                <c:pt idx="1">
                  <c:v>0.41379310344827586</c:v>
                </c:pt>
                <c:pt idx="2">
                  <c:v>0.43902439024390244</c:v>
                </c:pt>
                <c:pt idx="3">
                  <c:v>0.37102473498233218</c:v>
                </c:pt>
              </c:numCache>
            </c:numRef>
          </c:val>
          <c:extLst>
            <c:ext xmlns:c16="http://schemas.microsoft.com/office/drawing/2014/chart" uri="{C3380CC4-5D6E-409C-BE32-E72D297353CC}">
              <c16:uniqueId val="{00000000-4CCB-4A53-A3A6-2792CF4335DA}"/>
            </c:ext>
          </c:extLst>
        </c:ser>
        <c:ser>
          <c:idx val="1"/>
          <c:order val="1"/>
          <c:tx>
            <c:strRef>
              <c:f>'Pivot Analysis'!$H$6:$H$7</c:f>
              <c:strCache>
                <c:ptCount val="1"/>
                <c:pt idx="0">
                  <c:v>Fog</c:v>
                </c:pt>
              </c:strCache>
            </c:strRef>
          </c:tx>
          <c:spPr>
            <a:solidFill>
              <a:schemeClr val="accent2"/>
            </a:solidFill>
            <a:ln>
              <a:noFill/>
            </a:ln>
            <a:effectLst/>
          </c:spPr>
          <c:invertIfNegative val="0"/>
          <c:cat>
            <c:strRef>
              <c:f>'Pivot Analysis'!$F$8:$F$11</c:f>
              <c:strCache>
                <c:ptCount val="4"/>
                <c:pt idx="0">
                  <c:v>Air</c:v>
                </c:pt>
                <c:pt idx="1">
                  <c:v>Rail</c:v>
                </c:pt>
                <c:pt idx="2">
                  <c:v>Road</c:v>
                </c:pt>
                <c:pt idx="3">
                  <c:v>Sea</c:v>
                </c:pt>
              </c:strCache>
            </c:strRef>
          </c:cat>
          <c:val>
            <c:numRef>
              <c:f>'Pivot Analysis'!$H$8:$H$11</c:f>
              <c:numCache>
                <c:formatCode>0.0%;\-0.0%;0.0%</c:formatCode>
                <c:ptCount val="4"/>
                <c:pt idx="0">
                  <c:v>0.5</c:v>
                </c:pt>
                <c:pt idx="1">
                  <c:v>0.453125</c:v>
                </c:pt>
                <c:pt idx="2">
                  <c:v>0.41935483870967744</c:v>
                </c:pt>
                <c:pt idx="3">
                  <c:v>0.47859922178988329</c:v>
                </c:pt>
              </c:numCache>
            </c:numRef>
          </c:val>
          <c:extLst>
            <c:ext xmlns:c16="http://schemas.microsoft.com/office/drawing/2014/chart" uri="{C3380CC4-5D6E-409C-BE32-E72D297353CC}">
              <c16:uniqueId val="{00000006-4CCB-4A53-A3A6-2792CF4335DA}"/>
            </c:ext>
          </c:extLst>
        </c:ser>
        <c:ser>
          <c:idx val="2"/>
          <c:order val="2"/>
          <c:tx>
            <c:strRef>
              <c:f>'Pivot Analysis'!$I$6:$I$7</c:f>
              <c:strCache>
                <c:ptCount val="1"/>
                <c:pt idx="0">
                  <c:v>Hurricane</c:v>
                </c:pt>
              </c:strCache>
            </c:strRef>
          </c:tx>
          <c:spPr>
            <a:solidFill>
              <a:schemeClr val="accent3"/>
            </a:solidFill>
            <a:ln>
              <a:noFill/>
            </a:ln>
            <a:effectLst/>
          </c:spPr>
          <c:invertIfNegative val="0"/>
          <c:cat>
            <c:strRef>
              <c:f>'Pivot Analysis'!$F$8:$F$11</c:f>
              <c:strCache>
                <c:ptCount val="4"/>
                <c:pt idx="0">
                  <c:v>Air</c:v>
                </c:pt>
                <c:pt idx="1">
                  <c:v>Rail</c:v>
                </c:pt>
                <c:pt idx="2">
                  <c:v>Road</c:v>
                </c:pt>
                <c:pt idx="3">
                  <c:v>Sea</c:v>
                </c:pt>
              </c:strCache>
            </c:strRef>
          </c:cat>
          <c:val>
            <c:numRef>
              <c:f>'Pivot Analysis'!$I$8:$I$11</c:f>
              <c:numCache>
                <c:formatCode>0.0%;\-0.0%;0.0%</c:formatCode>
                <c:ptCount val="4"/>
                <c:pt idx="0">
                  <c:v>1</c:v>
                </c:pt>
                <c:pt idx="1">
                  <c:v>1</c:v>
                </c:pt>
                <c:pt idx="2">
                  <c:v>1</c:v>
                </c:pt>
                <c:pt idx="3">
                  <c:v>1</c:v>
                </c:pt>
              </c:numCache>
            </c:numRef>
          </c:val>
          <c:extLst>
            <c:ext xmlns:c16="http://schemas.microsoft.com/office/drawing/2014/chart" uri="{C3380CC4-5D6E-409C-BE32-E72D297353CC}">
              <c16:uniqueId val="{00000007-4CCB-4A53-A3A6-2792CF4335DA}"/>
            </c:ext>
          </c:extLst>
        </c:ser>
        <c:ser>
          <c:idx val="3"/>
          <c:order val="3"/>
          <c:tx>
            <c:strRef>
              <c:f>'Pivot Analysis'!$J$6:$J$7</c:f>
              <c:strCache>
                <c:ptCount val="1"/>
                <c:pt idx="0">
                  <c:v>Rain</c:v>
                </c:pt>
              </c:strCache>
            </c:strRef>
          </c:tx>
          <c:spPr>
            <a:solidFill>
              <a:schemeClr val="accent4"/>
            </a:solidFill>
            <a:ln>
              <a:noFill/>
            </a:ln>
            <a:effectLst/>
          </c:spPr>
          <c:invertIfNegative val="0"/>
          <c:cat>
            <c:strRef>
              <c:f>'Pivot Analysis'!$F$8:$F$11</c:f>
              <c:strCache>
                <c:ptCount val="4"/>
                <c:pt idx="0">
                  <c:v>Air</c:v>
                </c:pt>
                <c:pt idx="1">
                  <c:v>Rail</c:v>
                </c:pt>
                <c:pt idx="2">
                  <c:v>Road</c:v>
                </c:pt>
                <c:pt idx="3">
                  <c:v>Sea</c:v>
                </c:pt>
              </c:strCache>
            </c:strRef>
          </c:cat>
          <c:val>
            <c:numRef>
              <c:f>'Pivot Analysis'!$J$8:$J$11</c:f>
              <c:numCache>
                <c:formatCode>0.0%;\-0.0%;0.0%</c:formatCode>
                <c:ptCount val="4"/>
                <c:pt idx="0">
                  <c:v>0.44400000000000001</c:v>
                </c:pt>
                <c:pt idx="1">
                  <c:v>0.32075471698113206</c:v>
                </c:pt>
                <c:pt idx="2">
                  <c:v>0.43636363636363634</c:v>
                </c:pt>
                <c:pt idx="3">
                  <c:v>0.4219409282700422</c:v>
                </c:pt>
              </c:numCache>
            </c:numRef>
          </c:val>
          <c:extLst>
            <c:ext xmlns:c16="http://schemas.microsoft.com/office/drawing/2014/chart" uri="{C3380CC4-5D6E-409C-BE32-E72D297353CC}">
              <c16:uniqueId val="{00000008-4CCB-4A53-A3A6-2792CF4335DA}"/>
            </c:ext>
          </c:extLst>
        </c:ser>
        <c:ser>
          <c:idx val="4"/>
          <c:order val="4"/>
          <c:tx>
            <c:strRef>
              <c:f>'Pivot Analysis'!$K$6:$K$7</c:f>
              <c:strCache>
                <c:ptCount val="1"/>
                <c:pt idx="0">
                  <c:v>Storm</c:v>
                </c:pt>
              </c:strCache>
            </c:strRef>
          </c:tx>
          <c:spPr>
            <a:solidFill>
              <a:schemeClr val="accent5"/>
            </a:solidFill>
            <a:ln>
              <a:noFill/>
            </a:ln>
            <a:effectLst/>
          </c:spPr>
          <c:invertIfNegative val="0"/>
          <c:cat>
            <c:strRef>
              <c:f>'Pivot Analysis'!$F$8:$F$11</c:f>
              <c:strCache>
                <c:ptCount val="4"/>
                <c:pt idx="0">
                  <c:v>Air</c:v>
                </c:pt>
                <c:pt idx="1">
                  <c:v>Rail</c:v>
                </c:pt>
                <c:pt idx="2">
                  <c:v>Road</c:v>
                </c:pt>
                <c:pt idx="3">
                  <c:v>Sea</c:v>
                </c:pt>
              </c:strCache>
            </c:strRef>
          </c:cat>
          <c:val>
            <c:numRef>
              <c:f>'Pivot Analysis'!$K$8:$K$11</c:f>
              <c:numCache>
                <c:formatCode>0.0%;\-0.0%;0.0%</c:formatCode>
                <c:ptCount val="4"/>
                <c:pt idx="0">
                  <c:v>0.78867924528301891</c:v>
                </c:pt>
                <c:pt idx="1">
                  <c:v>0.79104477611940294</c:v>
                </c:pt>
                <c:pt idx="2">
                  <c:v>0.7192982456140351</c:v>
                </c:pt>
                <c:pt idx="3">
                  <c:v>0.79838709677419351</c:v>
                </c:pt>
              </c:numCache>
            </c:numRef>
          </c:val>
          <c:extLst>
            <c:ext xmlns:c16="http://schemas.microsoft.com/office/drawing/2014/chart" uri="{C3380CC4-5D6E-409C-BE32-E72D297353CC}">
              <c16:uniqueId val="{00000009-4CCB-4A53-A3A6-2792CF4335DA}"/>
            </c:ext>
          </c:extLst>
        </c:ser>
        <c:dLbls>
          <c:showLegendKey val="0"/>
          <c:showVal val="0"/>
          <c:showCatName val="0"/>
          <c:showSerName val="0"/>
          <c:showPercent val="0"/>
          <c:showBubbleSize val="0"/>
        </c:dLbls>
        <c:gapWidth val="182"/>
        <c:axId val="1239392992"/>
        <c:axId val="1239392576"/>
      </c:barChart>
      <c:catAx>
        <c:axId val="123939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392576"/>
        <c:crosses val="autoZero"/>
        <c:auto val="1"/>
        <c:lblAlgn val="ctr"/>
        <c:lblOffset val="100"/>
        <c:noMultiLvlLbl val="0"/>
      </c:catAx>
      <c:valAx>
        <c:axId val="123939257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39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[Global_Logistics_Risk_Dashboard.xlsx]Pivot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Reliability Score by Fuel Price Bracket &amp; Transport Mode</a:t>
            </a:r>
            <a:endParaRPr lang="en-US"/>
          </a:p>
        </c:rich>
      </c:tx>
      <c:layout>
        <c:manualLayout>
          <c:xMode val="edge"/>
          <c:yMode val="edge"/>
          <c:x val="0.10661934422376308"/>
          <c:y val="4.494382022471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Analysis'!$N$39:$N$40</c:f>
              <c:strCache>
                <c:ptCount val="1"/>
                <c:pt idx="0">
                  <c:v>Air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Analysis'!$M$41:$M$43</c:f>
              <c:strCache>
                <c:ptCount val="3"/>
                <c:pt idx="0">
                  <c:v>Low Index (1.0–2.0)</c:v>
                </c:pt>
                <c:pt idx="1">
                  <c:v>Mid Index (2.0–3.5)</c:v>
                </c:pt>
                <c:pt idx="2">
                  <c:v>High Index (&gt;3.5)</c:v>
                </c:pt>
              </c:strCache>
            </c:strRef>
          </c:cat>
          <c:val>
            <c:numRef>
              <c:f>'Pivot Analysis'!$N$41:$N$43</c:f>
              <c:numCache>
                <c:formatCode>0%</c:formatCode>
                <c:ptCount val="3"/>
                <c:pt idx="0">
                  <c:v>0.75818348623853205</c:v>
                </c:pt>
                <c:pt idx="1">
                  <c:v>0.74635875216637781</c:v>
                </c:pt>
                <c:pt idx="2">
                  <c:v>0.75718028846153851</c:v>
                </c:pt>
              </c:numCache>
            </c:numRef>
          </c:val>
          <c:smooth val="0"/>
          <c:extLst>
            <c:ext xmlns:c16="http://schemas.microsoft.com/office/drawing/2014/chart" uri="{C3380CC4-5D6E-409C-BE32-E72D297353CC}">
              <c16:uniqueId val="{00000000-F04E-489D-8B97-CF1D24F39BFB}"/>
            </c:ext>
          </c:extLst>
        </c:ser>
        <c:ser>
          <c:idx val="1"/>
          <c:order val="1"/>
          <c:tx>
            <c:strRef>
              <c:f>'Pivot Analysis'!$O$39:$O$40</c:f>
              <c:strCache>
                <c:ptCount val="1"/>
                <c:pt idx="0">
                  <c:v>Rail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Analysis'!$M$41:$M$43</c:f>
              <c:strCache>
                <c:ptCount val="3"/>
                <c:pt idx="0">
                  <c:v>Low Index (1.0–2.0)</c:v>
                </c:pt>
                <c:pt idx="1">
                  <c:v>Mid Index (2.0–3.5)</c:v>
                </c:pt>
                <c:pt idx="2">
                  <c:v>High Index (&gt;3.5)</c:v>
                </c:pt>
              </c:strCache>
            </c:strRef>
          </c:cat>
          <c:val>
            <c:numRef>
              <c:f>'Pivot Analysis'!$O$41:$O$43</c:f>
              <c:numCache>
                <c:formatCode>0%</c:formatCode>
                <c:ptCount val="3"/>
                <c:pt idx="0">
                  <c:v>0.74851898734177214</c:v>
                </c:pt>
                <c:pt idx="1">
                  <c:v>0.75697656250000001</c:v>
                </c:pt>
                <c:pt idx="2">
                  <c:v>0.76979347826086952</c:v>
                </c:pt>
              </c:numCache>
            </c:numRef>
          </c:val>
          <c:smooth val="0"/>
          <c:extLst>
            <c:ext xmlns:c16="http://schemas.microsoft.com/office/drawing/2014/chart" uri="{C3380CC4-5D6E-409C-BE32-E72D297353CC}">
              <c16:uniqueId val="{00000005-F04E-489D-8B97-CF1D24F39BFB}"/>
            </c:ext>
          </c:extLst>
        </c:ser>
        <c:ser>
          <c:idx val="2"/>
          <c:order val="2"/>
          <c:tx>
            <c:strRef>
              <c:f>'Pivot Analysis'!$P$39:$P$40</c:f>
              <c:strCache>
                <c:ptCount val="1"/>
                <c:pt idx="0">
                  <c:v>Road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Analysis'!$M$41:$M$43</c:f>
              <c:strCache>
                <c:ptCount val="3"/>
                <c:pt idx="0">
                  <c:v>Low Index (1.0–2.0)</c:v>
                </c:pt>
                <c:pt idx="1">
                  <c:v>Mid Index (2.0–3.5)</c:v>
                </c:pt>
                <c:pt idx="2">
                  <c:v>High Index (&gt;3.5)</c:v>
                </c:pt>
              </c:strCache>
            </c:strRef>
          </c:cat>
          <c:val>
            <c:numRef>
              <c:f>'Pivot Analysis'!$P$41:$P$43</c:f>
              <c:numCache>
                <c:formatCode>0%</c:formatCode>
                <c:ptCount val="3"/>
                <c:pt idx="0">
                  <c:v>0.71229032258064517</c:v>
                </c:pt>
                <c:pt idx="1">
                  <c:v>0.75648412698412693</c:v>
                </c:pt>
                <c:pt idx="2">
                  <c:v>0.76901190476190473</c:v>
                </c:pt>
              </c:numCache>
            </c:numRef>
          </c:val>
          <c:smooth val="0"/>
          <c:extLst>
            <c:ext xmlns:c16="http://schemas.microsoft.com/office/drawing/2014/chart" uri="{C3380CC4-5D6E-409C-BE32-E72D297353CC}">
              <c16:uniqueId val="{00000001-7474-47FF-8776-E1A39CB9646D}"/>
            </c:ext>
          </c:extLst>
        </c:ser>
        <c:ser>
          <c:idx val="3"/>
          <c:order val="3"/>
          <c:tx>
            <c:strRef>
              <c:f>'Pivot Analysis'!$Q$39:$Q$40</c:f>
              <c:strCache>
                <c:ptCount val="1"/>
                <c:pt idx="0">
                  <c:v>Sea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Analysis'!$M$41:$M$43</c:f>
              <c:strCache>
                <c:ptCount val="3"/>
                <c:pt idx="0">
                  <c:v>Low Index (1.0–2.0)</c:v>
                </c:pt>
                <c:pt idx="1">
                  <c:v>Mid Index (2.0–3.5)</c:v>
                </c:pt>
                <c:pt idx="2">
                  <c:v>High Index (&gt;3.5)</c:v>
                </c:pt>
              </c:strCache>
            </c:strRef>
          </c:cat>
          <c:val>
            <c:numRef>
              <c:f>'Pivot Analysis'!$Q$41:$Q$43</c:f>
              <c:numCache>
                <c:formatCode>0%</c:formatCode>
                <c:ptCount val="3"/>
                <c:pt idx="0">
                  <c:v>0.75303536977491958</c:v>
                </c:pt>
                <c:pt idx="1">
                  <c:v>0.75965982905982909</c:v>
                </c:pt>
                <c:pt idx="2">
                  <c:v>0.73883896103896096</c:v>
                </c:pt>
              </c:numCache>
            </c:numRef>
          </c:val>
          <c:smooth val="0"/>
          <c:extLst>
            <c:ext xmlns:c16="http://schemas.microsoft.com/office/drawing/2014/chart" uri="{C3380CC4-5D6E-409C-BE32-E72D297353CC}">
              <c16:uniqueId val="{00000002-7474-47FF-8776-E1A39CB9646D}"/>
            </c:ext>
          </c:extLst>
        </c:ser>
        <c:dLbls>
          <c:showLegendKey val="0"/>
          <c:showVal val="0"/>
          <c:showCatName val="0"/>
          <c:showSerName val="0"/>
          <c:showPercent val="0"/>
          <c:showBubbleSize val="0"/>
        </c:dLbls>
        <c:marker val="1"/>
        <c:smooth val="0"/>
        <c:axId val="1499671072"/>
        <c:axId val="1499673984"/>
      </c:lineChart>
      <c:catAx>
        <c:axId val="149967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673984"/>
        <c:crosses val="autoZero"/>
        <c:auto val="1"/>
        <c:lblAlgn val="ctr"/>
        <c:lblOffset val="100"/>
        <c:noMultiLvlLbl val="0"/>
      </c:catAx>
      <c:valAx>
        <c:axId val="1499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6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[Global_Logistics_Risk_Dashboard.xlsx]Pivot 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Geopolitical Risk by Origin Port &amp; Transport Mode</a:t>
            </a:r>
            <a:endParaRPr lang="en-US"/>
          </a:p>
        </c:rich>
      </c:tx>
      <c:layout>
        <c:manualLayout>
          <c:xMode val="edge"/>
          <c:yMode val="edge"/>
          <c:x val="0.15250285714285713"/>
          <c:y val="5.01792114695340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Analysis'!$B$29:$B$30</c:f>
              <c:strCache>
                <c:ptCount val="1"/>
                <c:pt idx="0">
                  <c:v>Air</c:v>
                </c:pt>
              </c:strCache>
            </c:strRef>
          </c:tx>
          <c:spPr>
            <a:solidFill>
              <a:schemeClr val="accent1"/>
            </a:solidFill>
            <a:ln>
              <a:noFill/>
            </a:ln>
            <a:effectLst/>
          </c:spPr>
          <c:invertIfNegative val="0"/>
          <c:cat>
            <c:strRef>
              <c:f>'Pivot Analysis'!$A$31:$A$38</c:f>
              <c:strCache>
                <c:ptCount val="8"/>
                <c:pt idx="0">
                  <c:v>Antwerp</c:v>
                </c:pt>
                <c:pt idx="1">
                  <c:v>Busan</c:v>
                </c:pt>
                <c:pt idx="2">
                  <c:v>Dubai</c:v>
                </c:pt>
                <c:pt idx="3">
                  <c:v>Hamburg</c:v>
                </c:pt>
                <c:pt idx="4">
                  <c:v>Los Angeles</c:v>
                </c:pt>
                <c:pt idx="5">
                  <c:v>Rotterdam</c:v>
                </c:pt>
                <c:pt idx="6">
                  <c:v>Shanghai</c:v>
                </c:pt>
                <c:pt idx="7">
                  <c:v>Singapore</c:v>
                </c:pt>
              </c:strCache>
            </c:strRef>
          </c:cat>
          <c:val>
            <c:numRef>
              <c:f>'Pivot Analysis'!$B$31:$B$38</c:f>
              <c:numCache>
                <c:formatCode>0.00</c:formatCode>
                <c:ptCount val="8"/>
                <c:pt idx="0">
                  <c:v>5.1590909090909101</c:v>
                </c:pt>
                <c:pt idx="1">
                  <c:v>5.2976470588235305</c:v>
                </c:pt>
                <c:pt idx="2">
                  <c:v>4.7294478527607335</c:v>
                </c:pt>
                <c:pt idx="3">
                  <c:v>4.9265822784810123</c:v>
                </c:pt>
                <c:pt idx="4">
                  <c:v>4.7655844155844136</c:v>
                </c:pt>
                <c:pt idx="5">
                  <c:v>4.9369942196531778</c:v>
                </c:pt>
                <c:pt idx="6">
                  <c:v>4.9969696969696971</c:v>
                </c:pt>
                <c:pt idx="7">
                  <c:v>5.0366459627329201</c:v>
                </c:pt>
              </c:numCache>
            </c:numRef>
          </c:val>
          <c:extLst>
            <c:ext xmlns:c16="http://schemas.microsoft.com/office/drawing/2014/chart" uri="{C3380CC4-5D6E-409C-BE32-E72D297353CC}">
              <c16:uniqueId val="{00000000-54EE-486D-AF7E-ECA8CB68F3CF}"/>
            </c:ext>
          </c:extLst>
        </c:ser>
        <c:ser>
          <c:idx val="1"/>
          <c:order val="1"/>
          <c:tx>
            <c:strRef>
              <c:f>'Pivot Analysis'!$C$29:$C$30</c:f>
              <c:strCache>
                <c:ptCount val="1"/>
                <c:pt idx="0">
                  <c:v>Rail</c:v>
                </c:pt>
              </c:strCache>
            </c:strRef>
          </c:tx>
          <c:spPr>
            <a:solidFill>
              <a:schemeClr val="accent2"/>
            </a:solidFill>
            <a:ln>
              <a:noFill/>
            </a:ln>
            <a:effectLst/>
          </c:spPr>
          <c:invertIfNegative val="0"/>
          <c:cat>
            <c:strRef>
              <c:f>'Pivot Analysis'!$A$31:$A$38</c:f>
              <c:strCache>
                <c:ptCount val="8"/>
                <c:pt idx="0">
                  <c:v>Antwerp</c:v>
                </c:pt>
                <c:pt idx="1">
                  <c:v>Busan</c:v>
                </c:pt>
                <c:pt idx="2">
                  <c:v>Dubai</c:v>
                </c:pt>
                <c:pt idx="3">
                  <c:v>Hamburg</c:v>
                </c:pt>
                <c:pt idx="4">
                  <c:v>Los Angeles</c:v>
                </c:pt>
                <c:pt idx="5">
                  <c:v>Rotterdam</c:v>
                </c:pt>
                <c:pt idx="6">
                  <c:v>Shanghai</c:v>
                </c:pt>
                <c:pt idx="7">
                  <c:v>Singapore</c:v>
                </c:pt>
              </c:strCache>
            </c:strRef>
          </c:cat>
          <c:val>
            <c:numRef>
              <c:f>'Pivot Analysis'!$C$31:$C$38</c:f>
              <c:numCache>
                <c:formatCode>0.00</c:formatCode>
                <c:ptCount val="8"/>
                <c:pt idx="0">
                  <c:v>4.7732142857142863</c:v>
                </c:pt>
                <c:pt idx="1">
                  <c:v>4.5255319148936177</c:v>
                </c:pt>
                <c:pt idx="3">
                  <c:v>5.0867924528301902</c:v>
                </c:pt>
                <c:pt idx="5">
                  <c:v>4.9352941176470591</c:v>
                </c:pt>
                <c:pt idx="6">
                  <c:v>5.2558823529411764</c:v>
                </c:pt>
                <c:pt idx="7">
                  <c:v>5.3414634146341458</c:v>
                </c:pt>
              </c:numCache>
            </c:numRef>
          </c:val>
          <c:extLst>
            <c:ext xmlns:c16="http://schemas.microsoft.com/office/drawing/2014/chart" uri="{C3380CC4-5D6E-409C-BE32-E72D297353CC}">
              <c16:uniqueId val="{00000005-54EE-486D-AF7E-ECA8CB68F3CF}"/>
            </c:ext>
          </c:extLst>
        </c:ser>
        <c:ser>
          <c:idx val="2"/>
          <c:order val="2"/>
          <c:tx>
            <c:strRef>
              <c:f>'Pivot Analysis'!$D$29:$D$30</c:f>
              <c:strCache>
                <c:ptCount val="1"/>
                <c:pt idx="0">
                  <c:v>Road</c:v>
                </c:pt>
              </c:strCache>
            </c:strRef>
          </c:tx>
          <c:spPr>
            <a:solidFill>
              <a:schemeClr val="accent3"/>
            </a:solidFill>
            <a:ln>
              <a:noFill/>
            </a:ln>
            <a:effectLst/>
          </c:spPr>
          <c:invertIfNegative val="0"/>
          <c:cat>
            <c:strRef>
              <c:f>'Pivot Analysis'!$A$31:$A$38</c:f>
              <c:strCache>
                <c:ptCount val="8"/>
                <c:pt idx="0">
                  <c:v>Antwerp</c:v>
                </c:pt>
                <c:pt idx="1">
                  <c:v>Busan</c:v>
                </c:pt>
                <c:pt idx="2">
                  <c:v>Dubai</c:v>
                </c:pt>
                <c:pt idx="3">
                  <c:v>Hamburg</c:v>
                </c:pt>
                <c:pt idx="4">
                  <c:v>Los Angeles</c:v>
                </c:pt>
                <c:pt idx="5">
                  <c:v>Rotterdam</c:v>
                </c:pt>
                <c:pt idx="6">
                  <c:v>Shanghai</c:v>
                </c:pt>
                <c:pt idx="7">
                  <c:v>Singapore</c:v>
                </c:pt>
              </c:strCache>
            </c:strRef>
          </c:cat>
          <c:val>
            <c:numRef>
              <c:f>'Pivot Analysis'!$D$31:$D$38</c:f>
              <c:numCache>
                <c:formatCode>0.00</c:formatCode>
                <c:ptCount val="8"/>
                <c:pt idx="0">
                  <c:v>5.1912280701754385</c:v>
                </c:pt>
                <c:pt idx="1">
                  <c:v>4.8500000000000005</c:v>
                </c:pt>
                <c:pt idx="3">
                  <c:v>4.3229166666666661</c:v>
                </c:pt>
                <c:pt idx="5">
                  <c:v>4.6215686274509808</c:v>
                </c:pt>
                <c:pt idx="6">
                  <c:v>5.2769230769230777</c:v>
                </c:pt>
                <c:pt idx="7">
                  <c:v>5.2428571428571429</c:v>
                </c:pt>
              </c:numCache>
            </c:numRef>
          </c:val>
          <c:extLst>
            <c:ext xmlns:c16="http://schemas.microsoft.com/office/drawing/2014/chart" uri="{C3380CC4-5D6E-409C-BE32-E72D297353CC}">
              <c16:uniqueId val="{00000001-ECC4-4B86-AF21-8AC48C1BB674}"/>
            </c:ext>
          </c:extLst>
        </c:ser>
        <c:ser>
          <c:idx val="3"/>
          <c:order val="3"/>
          <c:tx>
            <c:strRef>
              <c:f>'Pivot Analysis'!$E$29:$E$30</c:f>
              <c:strCache>
                <c:ptCount val="1"/>
                <c:pt idx="0">
                  <c:v>Sea</c:v>
                </c:pt>
              </c:strCache>
            </c:strRef>
          </c:tx>
          <c:spPr>
            <a:solidFill>
              <a:schemeClr val="accent4"/>
            </a:solidFill>
            <a:ln>
              <a:noFill/>
            </a:ln>
            <a:effectLst/>
          </c:spPr>
          <c:invertIfNegative val="0"/>
          <c:cat>
            <c:strRef>
              <c:f>'Pivot Analysis'!$A$31:$A$38</c:f>
              <c:strCache>
                <c:ptCount val="8"/>
                <c:pt idx="0">
                  <c:v>Antwerp</c:v>
                </c:pt>
                <c:pt idx="1">
                  <c:v>Busan</c:v>
                </c:pt>
                <c:pt idx="2">
                  <c:v>Dubai</c:v>
                </c:pt>
                <c:pt idx="3">
                  <c:v>Hamburg</c:v>
                </c:pt>
                <c:pt idx="4">
                  <c:v>Los Angeles</c:v>
                </c:pt>
                <c:pt idx="5">
                  <c:v>Rotterdam</c:v>
                </c:pt>
                <c:pt idx="6">
                  <c:v>Shanghai</c:v>
                </c:pt>
                <c:pt idx="7">
                  <c:v>Singapore</c:v>
                </c:pt>
              </c:strCache>
            </c:strRef>
          </c:cat>
          <c:val>
            <c:numRef>
              <c:f>'Pivot Analysis'!$E$31:$E$38</c:f>
              <c:numCache>
                <c:formatCode>0.00</c:formatCode>
                <c:ptCount val="8"/>
                <c:pt idx="0">
                  <c:v>4.954140127388535</c:v>
                </c:pt>
                <c:pt idx="1">
                  <c:v>5.1041916167664692</c:v>
                </c:pt>
                <c:pt idx="2">
                  <c:v>5.2067114093959708</c:v>
                </c:pt>
                <c:pt idx="3">
                  <c:v>4.909411764705883</c:v>
                </c:pt>
                <c:pt idx="4">
                  <c:v>5.0744966442953041</c:v>
                </c:pt>
                <c:pt idx="5">
                  <c:v>5.2527607361963202</c:v>
                </c:pt>
                <c:pt idx="6">
                  <c:v>4.9852071005917162</c:v>
                </c:pt>
                <c:pt idx="7">
                  <c:v>5.0636942675159196</c:v>
                </c:pt>
              </c:numCache>
            </c:numRef>
          </c:val>
          <c:extLst>
            <c:ext xmlns:c16="http://schemas.microsoft.com/office/drawing/2014/chart" uri="{C3380CC4-5D6E-409C-BE32-E72D297353CC}">
              <c16:uniqueId val="{00000002-ECC4-4B86-AF21-8AC48C1BB674}"/>
            </c:ext>
          </c:extLst>
        </c:ser>
        <c:dLbls>
          <c:showLegendKey val="0"/>
          <c:showVal val="0"/>
          <c:showCatName val="0"/>
          <c:showSerName val="0"/>
          <c:showPercent val="0"/>
          <c:showBubbleSize val="0"/>
        </c:dLbls>
        <c:gapWidth val="219"/>
        <c:overlap val="-27"/>
        <c:axId val="1239386336"/>
        <c:axId val="1239402976"/>
      </c:barChart>
      <c:catAx>
        <c:axId val="123938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402976"/>
        <c:crosses val="autoZero"/>
        <c:auto val="1"/>
        <c:lblAlgn val="ctr"/>
        <c:lblOffset val="100"/>
        <c:noMultiLvlLbl val="0"/>
      </c:catAx>
      <c:valAx>
        <c:axId val="1239402976"/>
        <c:scaling>
          <c:orientation val="minMax"/>
          <c:max val="6"/>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386336"/>
        <c:crosses val="autoZero"/>
        <c:crossBetween val="between"/>
        <c:majorUnit val="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Cargo Profile: Avg Weight vs Avg Distance by Product ×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ChartData!$G$3</c:f>
              <c:strCache>
                <c:ptCount val="1"/>
                <c:pt idx="0">
                  <c:v>Label</c:v>
                </c:pt>
              </c:strCache>
            </c:strRef>
          </c:tx>
          <c:spPr>
            <a:solidFill>
              <a:schemeClr val="accent1">
                <a:lumMod val="75000"/>
              </a:schemeClr>
            </a:solidFill>
            <a:ln w="12700">
              <a:solidFill>
                <a:schemeClr val="bg1"/>
              </a:solidFill>
            </a:ln>
            <a:effectLst/>
          </c:spPr>
          <c:invertIfNegative val="0"/>
          <c:dLbls>
            <c:dLbl>
              <c:idx val="0"/>
              <c:tx>
                <c:rich>
                  <a:bodyPr/>
                  <a:lstStyle/>
                  <a:p>
                    <a:fld id="{E53A4597-03AD-4053-A883-7EFA6551DA8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B4F-450A-B0F8-D675BB138529}"/>
                </c:ext>
              </c:extLst>
            </c:dLbl>
            <c:dLbl>
              <c:idx val="1"/>
              <c:tx>
                <c:rich>
                  <a:bodyPr/>
                  <a:lstStyle/>
                  <a:p>
                    <a:fld id="{FCABC13C-5DB2-42B5-B2B7-4E2A10B5F56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B4F-450A-B0F8-D675BB138529}"/>
                </c:ext>
              </c:extLst>
            </c:dLbl>
            <c:dLbl>
              <c:idx val="2"/>
              <c:tx>
                <c:rich>
                  <a:bodyPr/>
                  <a:lstStyle/>
                  <a:p>
                    <a:fld id="{6B29C931-547F-4904-B2EE-D77BD69846B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B4F-450A-B0F8-D675BB138529}"/>
                </c:ext>
              </c:extLst>
            </c:dLbl>
            <c:dLbl>
              <c:idx val="3"/>
              <c:tx>
                <c:rich>
                  <a:bodyPr/>
                  <a:lstStyle/>
                  <a:p>
                    <a:fld id="{0BADC172-62E7-4657-8AC9-36D43D8E5C4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B4F-450A-B0F8-D675BB138529}"/>
                </c:ext>
              </c:extLst>
            </c:dLbl>
            <c:dLbl>
              <c:idx val="4"/>
              <c:tx>
                <c:rich>
                  <a:bodyPr/>
                  <a:lstStyle/>
                  <a:p>
                    <a:fld id="{F3D0DB25-1261-4840-B759-66F99EA62BD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B4F-450A-B0F8-D675BB138529}"/>
                </c:ext>
              </c:extLst>
            </c:dLbl>
            <c:dLbl>
              <c:idx val="5"/>
              <c:tx>
                <c:rich>
                  <a:bodyPr/>
                  <a:lstStyle/>
                  <a:p>
                    <a:fld id="{62DDACEC-479A-4CAC-8AFA-B8744222092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B4F-450A-B0F8-D675BB138529}"/>
                </c:ext>
              </c:extLst>
            </c:dLbl>
            <c:dLbl>
              <c:idx val="6"/>
              <c:tx>
                <c:rich>
                  <a:bodyPr/>
                  <a:lstStyle/>
                  <a:p>
                    <a:fld id="{8741DE67-748F-45D3-A936-F593C56A198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B4F-450A-B0F8-D675BB138529}"/>
                </c:ext>
              </c:extLst>
            </c:dLbl>
            <c:dLbl>
              <c:idx val="7"/>
              <c:tx>
                <c:rich>
                  <a:bodyPr/>
                  <a:lstStyle/>
                  <a:p>
                    <a:fld id="{7C0C293D-28D4-4C85-9235-9D5DE2151EC4}"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B4F-450A-B0F8-D675BB138529}"/>
                </c:ext>
              </c:extLst>
            </c:dLbl>
            <c:dLbl>
              <c:idx val="8"/>
              <c:tx>
                <c:rich>
                  <a:bodyPr/>
                  <a:lstStyle/>
                  <a:p>
                    <a:fld id="{C1048D32-CEAD-4CBB-80D0-86C995147D2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B4F-450A-B0F8-D675BB138529}"/>
                </c:ext>
              </c:extLst>
            </c:dLbl>
            <c:dLbl>
              <c:idx val="9"/>
              <c:tx>
                <c:rich>
                  <a:bodyPr/>
                  <a:lstStyle/>
                  <a:p>
                    <a:fld id="{ED277AE4-1285-4493-ADBA-AD4F0BFD382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B4F-450A-B0F8-D675BB138529}"/>
                </c:ext>
              </c:extLst>
            </c:dLbl>
            <c:dLbl>
              <c:idx val="10"/>
              <c:tx>
                <c:rich>
                  <a:bodyPr/>
                  <a:lstStyle/>
                  <a:p>
                    <a:fld id="{C7B7B033-68CB-42DE-84E8-DE2E067556C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B4F-450A-B0F8-D675BB138529}"/>
                </c:ext>
              </c:extLst>
            </c:dLbl>
            <c:dLbl>
              <c:idx val="11"/>
              <c:tx>
                <c:rich>
                  <a:bodyPr/>
                  <a:lstStyle/>
                  <a:p>
                    <a:fld id="{742D0213-B5F1-426D-B3F2-FDED0FAE21B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B4F-450A-B0F8-D675BB138529}"/>
                </c:ext>
              </c:extLst>
            </c:dLbl>
            <c:dLbl>
              <c:idx val="12"/>
              <c:tx>
                <c:rich>
                  <a:bodyPr/>
                  <a:lstStyle/>
                  <a:p>
                    <a:fld id="{18191427-CEA8-49D6-932D-67250E7F808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B4F-450A-B0F8-D675BB138529}"/>
                </c:ext>
              </c:extLst>
            </c:dLbl>
            <c:dLbl>
              <c:idx val="13"/>
              <c:tx>
                <c:rich>
                  <a:bodyPr/>
                  <a:lstStyle/>
                  <a:p>
                    <a:fld id="{61E4026C-9E87-4296-A643-F3BB5E77E38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B4F-450A-B0F8-D675BB138529}"/>
                </c:ext>
              </c:extLst>
            </c:dLbl>
            <c:dLbl>
              <c:idx val="14"/>
              <c:tx>
                <c:rich>
                  <a:bodyPr/>
                  <a:lstStyle/>
                  <a:p>
                    <a:fld id="{22B720C2-BA8E-434B-9D51-9D674A81EEB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B4F-450A-B0F8-D675BB138529}"/>
                </c:ext>
              </c:extLst>
            </c:dLbl>
            <c:dLbl>
              <c:idx val="15"/>
              <c:tx>
                <c:rich>
                  <a:bodyPr/>
                  <a:lstStyle/>
                  <a:p>
                    <a:fld id="{F1392008-1722-43F1-8DAA-98AEF917755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B4F-450A-B0F8-D675BB138529}"/>
                </c:ext>
              </c:extLst>
            </c:dLbl>
            <c:dLbl>
              <c:idx val="16"/>
              <c:tx>
                <c:rich>
                  <a:bodyPr/>
                  <a:lstStyle/>
                  <a:p>
                    <a:fld id="{4B40F452-1BF0-41D8-8764-8D1293132B6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B4F-450A-B0F8-D675BB138529}"/>
                </c:ext>
              </c:extLst>
            </c:dLbl>
            <c:dLbl>
              <c:idx val="17"/>
              <c:tx>
                <c:rich>
                  <a:bodyPr/>
                  <a:lstStyle/>
                  <a:p>
                    <a:fld id="{55E11900-1C6A-45E6-AC1F-213DDEC2027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B4F-450A-B0F8-D675BB138529}"/>
                </c:ext>
              </c:extLst>
            </c:dLbl>
            <c:dLbl>
              <c:idx val="18"/>
              <c:tx>
                <c:rich>
                  <a:bodyPr/>
                  <a:lstStyle/>
                  <a:p>
                    <a:fld id="{930B618E-9C25-4C00-A269-ADB961CD709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B4F-450A-B0F8-D675BB138529}"/>
                </c:ext>
              </c:extLst>
            </c:dLbl>
            <c:dLbl>
              <c:idx val="19"/>
              <c:tx>
                <c:rich>
                  <a:bodyPr/>
                  <a:lstStyle/>
                  <a:p>
                    <a:fld id="{B7D08E1B-8C5B-4A3D-A106-A41111DCCA5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B4F-450A-B0F8-D675BB138529}"/>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ChartData!$H$4:$H$23</c:f>
              <c:numCache>
                <c:formatCode>General</c:formatCode>
                <c:ptCount val="20"/>
                <c:pt idx="0">
                  <c:v>7919.0036900369005</c:v>
                </c:pt>
                <c:pt idx="1">
                  <c:v>7993.3955555555558</c:v>
                </c:pt>
                <c:pt idx="2">
                  <c:v>7334.5947136563873</c:v>
                </c:pt>
                <c:pt idx="3">
                  <c:v>7616.093220338983</c:v>
                </c:pt>
                <c:pt idx="4">
                  <c:v>8036.0385964912284</c:v>
                </c:pt>
                <c:pt idx="5">
                  <c:v>7832.7246963562757</c:v>
                </c:pt>
                <c:pt idx="6">
                  <c:v>7487.8678414096912</c:v>
                </c:pt>
                <c:pt idx="7">
                  <c:v>7604.9494163424124</c:v>
                </c:pt>
                <c:pt idx="8">
                  <c:v>7681.7557251908393</c:v>
                </c:pt>
                <c:pt idx="9">
                  <c:v>7467.0762711864409</c:v>
                </c:pt>
                <c:pt idx="10">
                  <c:v>7719.040650406504</c:v>
                </c:pt>
                <c:pt idx="11">
                  <c:v>7743.28679245283</c:v>
                </c:pt>
                <c:pt idx="12">
                  <c:v>7399.6106557377052</c:v>
                </c:pt>
                <c:pt idx="13">
                  <c:v>8003.4959349593491</c:v>
                </c:pt>
                <c:pt idx="14">
                  <c:v>7704.0505836575876</c:v>
                </c:pt>
                <c:pt idx="15">
                  <c:v>7861.0579150579151</c:v>
                </c:pt>
                <c:pt idx="16">
                  <c:v>7728.8449612403101</c:v>
                </c:pt>
                <c:pt idx="17">
                  <c:v>7751.5021645021643</c:v>
                </c:pt>
                <c:pt idx="18">
                  <c:v>7682.770428015564</c:v>
                </c:pt>
                <c:pt idx="19">
                  <c:v>7420.886363636364</c:v>
                </c:pt>
              </c:numCache>
            </c:numRef>
          </c:xVal>
          <c:yVal>
            <c:numRef>
              <c:f>ChartData!$I$4:$I$23</c:f>
              <c:numCache>
                <c:formatCode>General</c:formatCode>
                <c:ptCount val="20"/>
                <c:pt idx="0">
                  <c:v>241.16974169741698</c:v>
                </c:pt>
                <c:pt idx="1">
                  <c:v>244.31555555555556</c:v>
                </c:pt>
                <c:pt idx="2">
                  <c:v>251.66519823788545</c:v>
                </c:pt>
                <c:pt idx="3">
                  <c:v>254.65677966101694</c:v>
                </c:pt>
                <c:pt idx="4">
                  <c:v>244.82456140350877</c:v>
                </c:pt>
                <c:pt idx="5">
                  <c:v>260.87854251012146</c:v>
                </c:pt>
                <c:pt idx="6">
                  <c:v>252.17180616740089</c:v>
                </c:pt>
                <c:pt idx="7">
                  <c:v>235.45136186770429</c:v>
                </c:pt>
                <c:pt idx="8">
                  <c:v>249.94274809160305</c:v>
                </c:pt>
                <c:pt idx="9">
                  <c:v>241.53389830508473</c:v>
                </c:pt>
                <c:pt idx="10">
                  <c:v>238.02845528455285</c:v>
                </c:pt>
                <c:pt idx="11">
                  <c:v>245.59622641509435</c:v>
                </c:pt>
                <c:pt idx="12">
                  <c:v>246.54098360655738</c:v>
                </c:pt>
                <c:pt idx="13">
                  <c:v>255.58943089430895</c:v>
                </c:pt>
                <c:pt idx="14">
                  <c:v>237.63813229571986</c:v>
                </c:pt>
                <c:pt idx="15">
                  <c:v>234.33590733590734</c:v>
                </c:pt>
                <c:pt idx="16">
                  <c:v>257.0658914728682</c:v>
                </c:pt>
                <c:pt idx="17">
                  <c:v>252.43290043290042</c:v>
                </c:pt>
                <c:pt idx="18">
                  <c:v>246.1556420233463</c:v>
                </c:pt>
                <c:pt idx="19">
                  <c:v>238.23106060606059</c:v>
                </c:pt>
              </c:numCache>
            </c:numRef>
          </c:yVal>
          <c:bubbleSize>
            <c:numRef>
              <c:f>ChartData!$J$4:$J$23</c:f>
              <c:numCache>
                <c:formatCode>General</c:formatCode>
                <c:ptCount val="20"/>
                <c:pt idx="0">
                  <c:v>271</c:v>
                </c:pt>
                <c:pt idx="1">
                  <c:v>225</c:v>
                </c:pt>
                <c:pt idx="2">
                  <c:v>227</c:v>
                </c:pt>
                <c:pt idx="3">
                  <c:v>236</c:v>
                </c:pt>
                <c:pt idx="4">
                  <c:v>285</c:v>
                </c:pt>
                <c:pt idx="5">
                  <c:v>247</c:v>
                </c:pt>
                <c:pt idx="6">
                  <c:v>227</c:v>
                </c:pt>
                <c:pt idx="7">
                  <c:v>257</c:v>
                </c:pt>
                <c:pt idx="8">
                  <c:v>262</c:v>
                </c:pt>
                <c:pt idx="9">
                  <c:v>236</c:v>
                </c:pt>
                <c:pt idx="10">
                  <c:v>246</c:v>
                </c:pt>
                <c:pt idx="11">
                  <c:v>265</c:v>
                </c:pt>
                <c:pt idx="12">
                  <c:v>244</c:v>
                </c:pt>
                <c:pt idx="13">
                  <c:v>246</c:v>
                </c:pt>
                <c:pt idx="14">
                  <c:v>257</c:v>
                </c:pt>
                <c:pt idx="15">
                  <c:v>259</c:v>
                </c:pt>
                <c:pt idx="16">
                  <c:v>258</c:v>
                </c:pt>
                <c:pt idx="17">
                  <c:v>231</c:v>
                </c:pt>
                <c:pt idx="18">
                  <c:v>257</c:v>
                </c:pt>
                <c:pt idx="19">
                  <c:v>264</c:v>
                </c:pt>
              </c:numCache>
            </c:numRef>
          </c:bubbleSize>
          <c:bubble3D val="0"/>
          <c:extLst>
            <c:ext xmlns:c15="http://schemas.microsoft.com/office/drawing/2012/chart" uri="{02D57815-91ED-43cb-92C2-25804820EDAC}">
              <c15:datalabelsRange>
                <c15:f>ChartData!$G$4:$G$23</c15:f>
                <c15:dlblRangeCache>
                  <c:ptCount val="20"/>
                  <c:pt idx="0">
                    <c:v>Automotive – Air</c:v>
                  </c:pt>
                  <c:pt idx="1">
                    <c:v>Automotive – Rail</c:v>
                  </c:pt>
                  <c:pt idx="2">
                    <c:v>Automotive – Road</c:v>
                  </c:pt>
                  <c:pt idx="3">
                    <c:v>Automotive – Sea</c:v>
                  </c:pt>
                  <c:pt idx="4">
                    <c:v>Electronics – Air</c:v>
                  </c:pt>
                  <c:pt idx="5">
                    <c:v>Electronics – Rail</c:v>
                  </c:pt>
                  <c:pt idx="6">
                    <c:v>Electronics – Road</c:v>
                  </c:pt>
                  <c:pt idx="7">
                    <c:v>Electronics – Sea</c:v>
                  </c:pt>
                  <c:pt idx="8">
                    <c:v>Perishables – Air</c:v>
                  </c:pt>
                  <c:pt idx="9">
                    <c:v>Perishables – Rail</c:v>
                  </c:pt>
                  <c:pt idx="10">
                    <c:v>Perishables – Road</c:v>
                  </c:pt>
                  <c:pt idx="11">
                    <c:v>Perishables – Sea</c:v>
                  </c:pt>
                  <c:pt idx="12">
                    <c:v>Pharmaceuticals – Air</c:v>
                  </c:pt>
                  <c:pt idx="13">
                    <c:v>Pharmaceuticals – Rail</c:v>
                  </c:pt>
                  <c:pt idx="14">
                    <c:v>Pharmaceuticals – Road</c:v>
                  </c:pt>
                  <c:pt idx="15">
                    <c:v>Pharmaceuticals – Sea</c:v>
                  </c:pt>
                  <c:pt idx="16">
                    <c:v>Textiles – Air</c:v>
                  </c:pt>
                  <c:pt idx="17">
                    <c:v>Textiles – Rail</c:v>
                  </c:pt>
                  <c:pt idx="18">
                    <c:v>Textiles – Road</c:v>
                  </c:pt>
                  <c:pt idx="19">
                    <c:v>Textiles – Sea</c:v>
                  </c:pt>
                </c15:dlblRangeCache>
              </c15:datalabelsRange>
            </c:ext>
            <c:ext xmlns:c16="http://schemas.microsoft.com/office/drawing/2014/chart" uri="{C3380CC4-5D6E-409C-BE32-E72D297353CC}">
              <c16:uniqueId val="{00000014-6B4F-450A-B0F8-D675BB138529}"/>
            </c:ext>
          </c:extLst>
        </c:ser>
        <c:dLbls>
          <c:showLegendKey val="0"/>
          <c:showVal val="0"/>
          <c:showCatName val="0"/>
          <c:showSerName val="0"/>
          <c:showPercent val="0"/>
          <c:showBubbleSize val="0"/>
        </c:dLbls>
        <c:bubbleScale val="100"/>
        <c:showNegBubbles val="0"/>
        <c:axId val="281628688"/>
        <c:axId val="281629104"/>
      </c:bubbleChart>
      <c:valAx>
        <c:axId val="281628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Avg Distance (km)</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629104"/>
        <c:crosses val="autoZero"/>
        <c:crossBetween val="midCat"/>
      </c:valAx>
      <c:valAx>
        <c:axId val="28162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Avg Weight (MT)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6286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539750</xdr:colOff>
      <xdr:row>4</xdr:row>
      <xdr:rowOff>6350</xdr:rowOff>
    </xdr:from>
    <xdr:to>
      <xdr:col>10</xdr:col>
      <xdr:colOff>6350</xdr:colOff>
      <xdr:row>16</xdr:row>
      <xdr:rowOff>120650</xdr:rowOff>
    </xdr:to>
    <xdr:graphicFrame macro="">
      <xdr:nvGraphicFramePr>
        <xdr:cNvPr id="2" name="Chart 1">
          <a:extLst>
            <a:ext uri="{FF2B5EF4-FFF2-40B4-BE49-F238E27FC236}">
              <a16:creationId xmlns:a16="http://schemas.microsoft.com/office/drawing/2014/main" id="{299A7DDF-B191-4B1A-BAB2-60BC48247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520700</xdr:colOff>
      <xdr:row>16</xdr:row>
      <xdr:rowOff>133350</xdr:rowOff>
    </xdr:from>
    <xdr:to>
      <xdr:col>10</xdr:col>
      <xdr:colOff>0</xdr:colOff>
      <xdr:row>26</xdr:row>
      <xdr:rowOff>76200</xdr:rowOff>
    </xdr:to>
    <xdr:graphicFrame macro="">
      <xdr:nvGraphicFramePr>
        <xdr:cNvPr id="4" name="Chart 3">
          <a:extLst>
            <a:ext uri="{FF2B5EF4-FFF2-40B4-BE49-F238E27FC236}">
              <a16:creationId xmlns:a16="http://schemas.microsoft.com/office/drawing/2014/main" id="{F27B08FE-C4F1-4FE9-B3C3-A7F6F9D05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xdr:colOff>
      <xdr:row>16</xdr:row>
      <xdr:rowOff>139700</xdr:rowOff>
    </xdr:from>
    <xdr:to>
      <xdr:col>19</xdr:col>
      <xdr:colOff>88900</xdr:colOff>
      <xdr:row>26</xdr:row>
      <xdr:rowOff>69850</xdr:rowOff>
    </xdr:to>
    <xdr:graphicFrame macro="">
      <xdr:nvGraphicFramePr>
        <xdr:cNvPr id="5" name="Chart 4">
          <a:extLst>
            <a:ext uri="{FF2B5EF4-FFF2-40B4-BE49-F238E27FC236}">
              <a16:creationId xmlns:a16="http://schemas.microsoft.com/office/drawing/2014/main" id="{B240514B-78F5-47BE-9D25-700CBF7CE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120649</xdr:rowOff>
    </xdr:from>
    <xdr:to>
      <xdr:col>2</xdr:col>
      <xdr:colOff>6350</xdr:colOff>
      <xdr:row>9</xdr:row>
      <xdr:rowOff>95250</xdr:rowOff>
    </xdr:to>
    <mc:AlternateContent xmlns:mc="http://schemas.openxmlformats.org/markup-compatibility/2006" xmlns:a14="http://schemas.microsoft.com/office/drawing/2010/main">
      <mc:Choice Requires="a14">
        <xdr:graphicFrame macro="">
          <xdr:nvGraphicFramePr>
            <xdr:cNvPr id="6" name="Date">
              <a:extLst>
                <a:ext uri="{FF2B5EF4-FFF2-40B4-BE49-F238E27FC236}">
                  <a16:creationId xmlns:a16="http://schemas.microsoft.com/office/drawing/2014/main" id="{52F442C4-7E13-41FE-9D42-74B0D0F53F6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0" y="1085849"/>
              <a:ext cx="1225550" cy="895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88900</xdr:rowOff>
    </xdr:from>
    <xdr:to>
      <xdr:col>2</xdr:col>
      <xdr:colOff>6350</xdr:colOff>
      <xdr:row>14</xdr:row>
      <xdr:rowOff>133351</xdr:rowOff>
    </xdr:to>
    <mc:AlternateContent xmlns:mc="http://schemas.openxmlformats.org/markup-compatibility/2006" xmlns:a14="http://schemas.microsoft.com/office/drawing/2010/main">
      <mc:Choice Requires="a14">
        <xdr:graphicFrame macro="">
          <xdr:nvGraphicFramePr>
            <xdr:cNvPr id="7" name="Product_Category">
              <a:extLst>
                <a:ext uri="{FF2B5EF4-FFF2-40B4-BE49-F238E27FC236}">
                  <a16:creationId xmlns:a16="http://schemas.microsoft.com/office/drawing/2014/main" id="{FAF6D312-C685-4BD5-A8B5-DE3623F11FE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1974850"/>
              <a:ext cx="1225550" cy="965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158750</xdr:rowOff>
    </xdr:from>
    <xdr:to>
      <xdr:col>1</xdr:col>
      <xdr:colOff>603250</xdr:colOff>
      <xdr:row>23</xdr:row>
      <xdr:rowOff>101600</xdr:rowOff>
    </xdr:to>
    <mc:AlternateContent xmlns:mc="http://schemas.openxmlformats.org/markup-compatibility/2006" xmlns:a14="http://schemas.microsoft.com/office/drawing/2010/main">
      <mc:Choice Requires="a14">
        <xdr:graphicFrame macro="">
          <xdr:nvGraphicFramePr>
            <xdr:cNvPr id="8" name="Transport_Mode">
              <a:extLst>
                <a:ext uri="{FF2B5EF4-FFF2-40B4-BE49-F238E27FC236}">
                  <a16:creationId xmlns:a16="http://schemas.microsoft.com/office/drawing/2014/main" id="{EE12CF47-3F23-4D92-82E8-2E3CC9010CBE}"/>
                </a:ext>
              </a:extLst>
            </xdr:cNvPr>
            <xdr:cNvGraphicFramePr/>
          </xdr:nvGraphicFramePr>
          <xdr:xfrm>
            <a:off x="0" y="0"/>
            <a:ext cx="0" cy="0"/>
          </xdr:xfrm>
          <a:graphic>
            <a:graphicData uri="http://schemas.microsoft.com/office/drawing/2010/slicer">
              <sle:slicer xmlns:sle="http://schemas.microsoft.com/office/drawing/2010/slicer" name="Transport_Mode"/>
            </a:graphicData>
          </a:graphic>
        </xdr:graphicFrame>
      </mc:Choice>
      <mc:Fallback xmlns="">
        <xdr:sp macro="" textlink="">
          <xdr:nvSpPr>
            <xdr:cNvPr id="0" name=""/>
            <xdr:cNvSpPr>
              <a:spLocks noTextEdit="1"/>
            </xdr:cNvSpPr>
          </xdr:nvSpPr>
          <xdr:spPr>
            <a:xfrm>
              <a:off x="0" y="3886200"/>
              <a:ext cx="121285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14</xdr:row>
      <xdr:rowOff>139699</xdr:rowOff>
    </xdr:from>
    <xdr:to>
      <xdr:col>2</xdr:col>
      <xdr:colOff>6350</xdr:colOff>
      <xdr:row>19</xdr:row>
      <xdr:rowOff>158750</xdr:rowOff>
    </xdr:to>
    <mc:AlternateContent xmlns:mc="http://schemas.openxmlformats.org/markup-compatibility/2006" xmlns:a14="http://schemas.microsoft.com/office/drawing/2010/main">
      <mc:Choice Requires="a14">
        <xdr:graphicFrame macro="">
          <xdr:nvGraphicFramePr>
            <xdr:cNvPr id="9" name="Weather_Condition">
              <a:extLst>
                <a:ext uri="{FF2B5EF4-FFF2-40B4-BE49-F238E27FC236}">
                  <a16:creationId xmlns:a16="http://schemas.microsoft.com/office/drawing/2014/main" id="{92521296-088C-4C00-A6C7-1604D9EB297F}"/>
                </a:ext>
              </a:extLst>
            </xdr:cNvPr>
            <xdr:cNvGraphicFramePr/>
          </xdr:nvGraphicFramePr>
          <xdr:xfrm>
            <a:off x="0" y="0"/>
            <a:ext cx="0" cy="0"/>
          </xdr:xfrm>
          <a:graphic>
            <a:graphicData uri="http://schemas.microsoft.com/office/drawing/2010/slicer">
              <sle:slicer xmlns:sle="http://schemas.microsoft.com/office/drawing/2010/slicer" name="Weather_Condition"/>
            </a:graphicData>
          </a:graphic>
        </xdr:graphicFrame>
      </mc:Choice>
      <mc:Fallback xmlns="">
        <xdr:sp macro="" textlink="">
          <xdr:nvSpPr>
            <xdr:cNvPr id="0" name=""/>
            <xdr:cNvSpPr>
              <a:spLocks noTextEdit="1"/>
            </xdr:cNvSpPr>
          </xdr:nvSpPr>
          <xdr:spPr>
            <a:xfrm>
              <a:off x="6350" y="2946399"/>
              <a:ext cx="1219200" cy="939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25400</xdr:colOff>
      <xdr:row>3</xdr:row>
      <xdr:rowOff>158750</xdr:rowOff>
    </xdr:from>
    <xdr:to>
      <xdr:col>19</xdr:col>
      <xdr:colOff>107950</xdr:colOff>
      <xdr:row>16</xdr:row>
      <xdr:rowOff>120650</xdr:rowOff>
    </xdr:to>
    <xdr:graphicFrame macro="">
      <xdr:nvGraphicFramePr>
        <xdr:cNvPr id="11" name="Chart 10">
          <a:extLst>
            <a:ext uri="{FF2B5EF4-FFF2-40B4-BE49-F238E27FC236}">
              <a16:creationId xmlns:a16="http://schemas.microsoft.com/office/drawing/2014/main" id="{200F57D3-0B12-487F-9D85-D8429168F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1</xdr:rowOff>
    </xdr:from>
    <xdr:to>
      <xdr:col>2</xdr:col>
      <xdr:colOff>12700</xdr:colOff>
      <xdr:row>4</xdr:row>
      <xdr:rowOff>88901</xdr:rowOff>
    </xdr:to>
    <mc:AlternateContent xmlns:mc="http://schemas.openxmlformats.org/markup-compatibility/2006" xmlns:a14="http://schemas.microsoft.com/office/drawing/2010/main">
      <mc:Choice Requires="a14">
        <xdr:graphicFrame macro="">
          <xdr:nvGraphicFramePr>
            <xdr:cNvPr id="12" name="Route_Plausibility">
              <a:extLst>
                <a:ext uri="{FF2B5EF4-FFF2-40B4-BE49-F238E27FC236}">
                  <a16:creationId xmlns:a16="http://schemas.microsoft.com/office/drawing/2014/main" id="{E6DBE4A6-252B-4411-9AAD-E853D2386FEB}"/>
                </a:ext>
              </a:extLst>
            </xdr:cNvPr>
            <xdr:cNvGraphicFramePr/>
          </xdr:nvGraphicFramePr>
          <xdr:xfrm>
            <a:off x="0" y="0"/>
            <a:ext cx="0" cy="0"/>
          </xdr:xfrm>
          <a:graphic>
            <a:graphicData uri="http://schemas.microsoft.com/office/drawing/2010/slicer">
              <sle:slicer xmlns:sle="http://schemas.microsoft.com/office/drawing/2010/slicer" name="Route_Plausibility"/>
            </a:graphicData>
          </a:graphic>
        </xdr:graphicFrame>
      </mc:Choice>
      <mc:Fallback xmlns="">
        <xdr:sp macro="" textlink="">
          <xdr:nvSpPr>
            <xdr:cNvPr id="0" name=""/>
            <xdr:cNvSpPr>
              <a:spLocks noTextEdit="1"/>
            </xdr:cNvSpPr>
          </xdr:nvSpPr>
          <xdr:spPr>
            <a:xfrm>
              <a:off x="0" y="387351"/>
              <a:ext cx="12319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463336921297" backgroundQuery="1" createdVersion="7" refreshedVersion="7" minRefreshableVersion="3" recordCount="0" supportSubquery="1" supportAdvancedDrill="1" xr:uid="{0F76C684-F47A-4979-AA87-2A8A3CD0A4F3}">
  <cacheSource type="external" connectionId="3"/>
  <cacheFields count="9">
    <cacheField name="[Measures].[Avg_Lead_Time]" caption="Avg_Lead_Time" numFmtId="0" hierarchy="26" level="32767"/>
    <cacheField name="[Measures].[Avg_Reliability]" caption="Avg_Reliability" numFmtId="0" hierarchy="27" level="32767"/>
    <cacheField name="[Measures].[Total_Weight_MT]" caption="Total_Weight_MT" numFmtId="0" hierarchy="28" level="32767"/>
    <cacheField name="[Measures].[Disruption_Rate_PCT]" caption="Disruption_Rate_PCT" numFmtId="0" hierarchy="29" level="32767"/>
    <cacheField name="[global_supply_chain_risk_2026].[Route_Plausibility].[Route_Plausibility]" caption="Route_Plausibility" numFmtId="0" hierarchy="19" level="1">
      <sharedItems containsSemiMixedTypes="0" containsNonDate="0" containsString="0"/>
    </cacheField>
    <cacheField name="[global_supply_chain_risk_2026].[Date].[Date]" caption="Date" numFmtId="0" hierarchy="1" level="1">
      <sharedItems containsSemiMixedTypes="0" containsNonDate="0" containsString="0"/>
    </cacheField>
    <cacheField name="[global_supply_chain_risk_2026].[Product_Category].[Product_Category]" caption="Product_Category" numFmtId="0" hierarchy="5" level="1">
      <sharedItems containsSemiMixedTypes="0" containsNonDate="0" containsString="0"/>
    </cacheField>
    <cacheField name="[global_supply_chain_risk_2026].[Transport_Mode].[Transport_Mode]" caption="Transport_Mode" numFmtId="0" hierarchy="4" level="1">
      <sharedItems containsSemiMixedTypes="0" containsNonDate="0" containsString="0"/>
    </cacheField>
    <cacheField name="[global_supply_chain_risk_2026].[Weather_Condition].[Weather_Condition]" caption="Weather_Condition" numFmtId="0" hierarchy="10" level="1">
      <sharedItems containsSemiMixedTypes="0" containsNonDate="0" containsString="0"/>
    </cacheField>
  </cacheFields>
  <cacheHierarchies count="37">
    <cacheHierarchy uniqueName="[global_supply_chain_risk_2026].[Shipment_ID]" caption="Shipment_ID" attribute="1" defaultMemberUniqueName="[global_supply_chain_risk_2026].[Shipment_ID].[All]" allUniqueName="[global_supply_chain_risk_2026].[Shipment_ID].[All]" dimensionUniqueName="[global_supply_chain_risk_2026]" displayFolder="" count="0" memberValueDatatype="130" unbalanced="0"/>
    <cacheHierarchy uniqueName="[global_supply_chain_risk_2026].[Date]" caption="Date" attribute="1" time="1" defaultMemberUniqueName="[global_supply_chain_risk_2026].[Date].[All]" allUniqueName="[global_supply_chain_risk_2026].[Date].[All]" dimensionUniqueName="[global_supply_chain_risk_2026]" displayFolder="" count="2" memberValueDatatype="7" unbalanced="0">
      <fieldsUsage count="2">
        <fieldUsage x="-1"/>
        <fieldUsage x="5"/>
      </fieldsUsage>
    </cacheHierarchy>
    <cacheHierarchy uniqueName="[global_supply_chain_risk_2026].[Origin_Port]" caption="Origin_Port" attribute="1" defaultMemberUniqueName="[global_supply_chain_risk_2026].[Origin_Port].[All]" allUniqueName="[global_supply_chain_risk_2026].[Origin_Port].[All]" dimensionUniqueName="[global_supply_chain_risk_2026]" displayFolder="" count="0" memberValueDatatype="130" unbalanced="0"/>
    <cacheHierarchy uniqueName="[global_supply_chain_risk_2026].[Destination_Port]" caption="Destination_Port" attribute="1" defaultMemberUniqueName="[global_supply_chain_risk_2026].[Destination_Port].[All]" allUniqueName="[global_supply_chain_risk_2026].[Destination_Port].[All]" dimensionUniqueName="[global_supply_chain_risk_2026]" displayFolder="" count="0" memberValueDatatype="130" unbalanced="0"/>
    <cacheHierarchy uniqueName="[global_supply_chain_risk_2026].[Transport_Mode]" caption="Transport_Mode" attribute="1" defaultMemberUniqueName="[global_supply_chain_risk_2026].[Transport_Mode].[All]" allUniqueName="[global_supply_chain_risk_2026].[Transport_Mode].[All]" dimensionUniqueName="[global_supply_chain_risk_2026]" displayFolder="" count="2" memberValueDatatype="130" unbalanced="0">
      <fieldsUsage count="2">
        <fieldUsage x="-1"/>
        <fieldUsage x="7"/>
      </fieldsUsage>
    </cacheHierarchy>
    <cacheHierarchy uniqueName="[global_supply_chain_risk_2026].[Product_Category]" caption="Product_Category" attribute="1" defaultMemberUniqueName="[global_supply_chain_risk_2026].[Product_Category].[All]" allUniqueName="[global_supply_chain_risk_2026].[Product_Category].[All]" dimensionUniqueName="[global_supply_chain_risk_2026]" displayFolder="" count="2" memberValueDatatype="130" unbalanced="0">
      <fieldsUsage count="2">
        <fieldUsage x="-1"/>
        <fieldUsage x="6"/>
      </fieldsUsage>
    </cacheHierarchy>
    <cacheHierarchy uniqueName="[global_supply_chain_risk_2026].[Distance_km]" caption="Distance_km" attribute="1" defaultMemberUniqueName="[global_supply_chain_risk_2026].[Distance_km].[All]" allUniqueName="[global_supply_chain_risk_2026].[Distance_km].[All]" dimensionUniqueName="[global_supply_chain_risk_2026]" displayFolder="" count="0" memberValueDatatype="5" unbalanced="0"/>
    <cacheHierarchy uniqueName="[global_supply_chain_risk_2026].[Weight_MT]" caption="Weight_MT" attribute="1" defaultMemberUniqueName="[global_supply_chain_risk_2026].[Weight_MT].[All]" allUniqueName="[global_supply_chain_risk_2026].[Weight_MT].[All]" dimensionUniqueName="[global_supply_chain_risk_2026]" displayFolder="" count="0" memberValueDatatype="5" unbalanced="0"/>
    <cacheHierarchy uniqueName="[global_supply_chain_risk_2026].[Fuel_Price_Index]" caption="Fuel_Price_Index" attribute="1" defaultMemberUniqueName="[global_supply_chain_risk_2026].[Fuel_Price_Index].[All]" allUniqueName="[global_supply_chain_risk_2026].[Fuel_Price_Index].[All]" dimensionUniqueName="[global_supply_chain_risk_2026]" displayFolder="" count="0" memberValueDatatype="5" unbalanced="0"/>
    <cacheHierarchy uniqueName="[global_supply_chain_risk_2026].[Geopolitical_Risk_Score]" caption="Geopolitical_Risk_Score" attribute="1" defaultMemberUniqueName="[global_supply_chain_risk_2026].[Geopolitical_Risk_Score].[All]" allUniqueName="[global_supply_chain_risk_2026].[Geopolitical_Risk_Score].[All]" dimensionUniqueName="[global_supply_chain_risk_2026]" displayFolder="" count="0" memberValueDatatype="5" unbalanced="0"/>
    <cacheHierarchy uniqueName="[global_supply_chain_risk_2026].[Weather_Condition]" caption="Weather_Condition" attribute="1" defaultMemberUniqueName="[global_supply_chain_risk_2026].[Weather_Condition].[All]" allUniqueName="[global_supply_chain_risk_2026].[Weather_Condition].[All]" dimensionUniqueName="[global_supply_chain_risk_2026]" displayFolder="" count="2" memberValueDatatype="130" unbalanced="0">
      <fieldsUsage count="2">
        <fieldUsage x="-1"/>
        <fieldUsage x="8"/>
      </fieldsUsage>
    </cacheHierarchy>
    <cacheHierarchy uniqueName="[global_supply_chain_risk_2026].[Carrier_Reliability_Score]" caption="Carrier_Reliability_Score" attribute="1" defaultMemberUniqueName="[global_supply_chain_risk_2026].[Carrier_Reliability_Score].[All]" allUniqueName="[global_supply_chain_risk_2026].[Carrier_Reliability_Score].[All]" dimensionUniqueName="[global_supply_chain_risk_2026]" displayFolder="" count="0" memberValueDatatype="5" unbalanced="0"/>
    <cacheHierarchy uniqueName="[global_supply_chain_risk_2026].[Lead_Time_Days]" caption="Lead_Time_Days" attribute="1" defaultMemberUniqueName="[global_supply_chain_risk_2026].[Lead_Time_Days].[All]" allUniqueName="[global_supply_chain_risk_2026].[Lead_Time_Days].[All]" dimensionUniqueName="[global_supply_chain_risk_2026]" displayFolder="" count="0" memberValueDatatype="5" unbalanced="0"/>
    <cacheHierarchy uniqueName="[global_supply_chain_risk_2026].[Disruption_Occurred]" caption="Disruption_Occurred" attribute="1" defaultMemberUniqueName="[global_supply_chain_risk_2026].[Disruption_Occurred].[All]" allUniqueName="[global_supply_chain_risk_2026].[Disruption_Occurred].[All]" dimensionUniqueName="[global_supply_chain_risk_2026]" displayFolder="" count="0" memberValueDatatype="5" unbalanced="0"/>
    <cacheHierarchy uniqueName="[global_supply_chain_risk_2026].[Fuel_Price_Bracket]" caption="Fuel_Price_Bracket" attribute="1" defaultMemberUniqueName="[global_supply_chain_risk_2026].[Fuel_Price_Bracket].[All]" allUniqueName="[global_supply_chain_risk_2026].[Fuel_Price_Bracket].[All]" dimensionUniqueName="[global_supply_chain_risk_2026]" displayFolder="" count="0" memberValueDatatype="130" unbalanced="0"/>
    <cacheHierarchy uniqueName="[global_supply_chain_risk_2026].[Mode_Route_Flag]" caption="Mode_Route_Flag" attribute="1" defaultMemberUniqueName="[global_supply_chain_risk_2026].[Mode_Route_Flag].[All]" allUniqueName="[global_supply_chain_risk_2026].[Mode_Route_Flag].[All]" dimensionUniqueName="[global_supply_chain_risk_2026]" displayFolder="" count="0" memberValueDatatype="130" unbalanced="0"/>
    <cacheHierarchy uniqueName="[global_supply_chain_risk_2026].[Origin_Continent]" caption="Origin_Continent" attribute="1" defaultMemberUniqueName="[global_supply_chain_risk_2026].[Origin_Continent].[All]" allUniqueName="[global_supply_chain_risk_2026].[Origin_Continent].[All]" dimensionUniqueName="[global_supply_chain_risk_2026]" displayFolder="" count="0" memberValueDatatype="130" unbalanced="0"/>
    <cacheHierarchy uniqueName="[global_supply_chain_risk_2026].[Destination_Continent]" caption="Destination_Continent" attribute="1" defaultMemberUniqueName="[global_supply_chain_risk_2026].[Destination_Continent].[All]" allUniqueName="[global_supply_chain_risk_2026].[Destination_Continent].[All]" dimensionUniqueName="[global_supply_chain_risk_2026]" displayFolder="" count="0" memberValueDatatype="130" unbalanced="0"/>
    <cacheHierarchy uniqueName="[global_supply_chain_risk_2026].[Cross_Continent]" caption="Cross_Continent" attribute="1" defaultMemberUniqueName="[global_supply_chain_risk_2026].[Cross_Continent].[All]" allUniqueName="[global_supply_chain_risk_2026].[Cross_Continent].[All]" dimensionUniqueName="[global_supply_chain_risk_2026]" displayFolder="" count="0" memberValueDatatype="130" unbalanced="0"/>
    <cacheHierarchy uniqueName="[global_supply_chain_risk_2026].[Route_Plausibility]" caption="Route_Plausibility" attribute="1" defaultMemberUniqueName="[global_supply_chain_risk_2026].[Route_Plausibility].[All]" allUniqueName="[global_supply_chain_risk_2026].[Route_Plausibility].[All]" dimensionUniqueName="[global_supply_chain_risk_2026]" displayFolder="" count="2" memberValueDatatype="130" unbalanced="0">
      <fieldsUsage count="2">
        <fieldUsage x="-1"/>
        <fieldUsage x="4"/>
      </fieldsUsage>
    </cacheHierarchy>
    <cacheHierarchy uniqueName="[global_supply_chain_risk_2026].[Fuel_Bracket_Label]" caption="Fuel_Bracket_Label" attribute="1" defaultMemberUniqueName="[global_supply_chain_risk_2026].[Fuel_Bracket_Label].[All]" allUniqueName="[global_supply_chain_risk_2026].[Fuel_Bracket_Label].[All]" dimensionUniqueName="[global_supply_chain_risk_2026]" displayFolder="" count="0" memberValueDatatype="130" unbalanced="0"/>
    <cacheHierarchy uniqueName="[PortRef 1].[Port]" caption="Port" attribute="1" defaultMemberUniqueName="[PortRef 1].[Port].[All]" allUniqueName="[PortRef 1].[Port].[All]" dimensionUniqueName="[PortRef 1]" displayFolder="" count="0" memberValueDatatype="130" unbalanced="0"/>
    <cacheHierarchy uniqueName="[PortRef 1].[Continent]" caption="Continent" attribute="1" defaultMemberUniqueName="[PortRef 1].[Continent].[All]" allUniqueName="[PortRef 1].[Continent].[All]" dimensionUniqueName="[PortRef 1]" displayFolder="" count="0" memberValueDatatype="130" unbalanced="0"/>
    <cacheHierarchy uniqueName="[Measures].[Sum of Distance_km]" caption="Sum of Distance_km" measure="1" displayFolder="" measureGroup="global_supply_chain_risk_2026" count="0">
      <extLst>
        <ext xmlns:x15="http://schemas.microsoft.com/office/spreadsheetml/2010/11/main" uri="{B97F6D7D-B522-45F9-BDA1-12C45D357490}">
          <x15:cacheHierarchy aggregatedColumn="6"/>
        </ext>
      </extLst>
    </cacheHierarchy>
    <cacheHierarchy uniqueName="[Measures].[Sum of Geopolitical_Risk_Score]" caption="Sum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erage of Geopolitical_Risk_Score]" caption="Average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g_Lead_Time]" caption="Avg_Lead_Time" measure="1" displayFolder="" measureGroup="global_supply_chain_risk_2026" count="0" oneField="1">
      <fieldsUsage count="1">
        <fieldUsage x="0"/>
      </fieldsUsage>
    </cacheHierarchy>
    <cacheHierarchy uniqueName="[Measures].[Avg_Reliability]" caption="Avg_Reliability" measure="1" displayFolder="" measureGroup="global_supply_chain_risk_2026" count="0" oneField="1">
      <fieldsUsage count="1">
        <fieldUsage x="1"/>
      </fieldsUsage>
    </cacheHierarchy>
    <cacheHierarchy uniqueName="[Measures].[Total_Weight_MT]" caption="Total_Weight_MT" measure="1" displayFolder="" measureGroup="global_supply_chain_risk_2026" count="0" oneField="1">
      <fieldsUsage count="1">
        <fieldUsage x="2"/>
      </fieldsUsage>
    </cacheHierarchy>
    <cacheHierarchy uniqueName="[Measures].[Disruption_Rate_PCT]" caption="Disruption_Rate_PCT" measure="1" displayFolder="" measureGroup="global_supply_chain_risk_2026" count="0" oneField="1">
      <fieldsUsage count="1">
        <fieldUsage x="3"/>
      </fieldsUsage>
    </cacheHierarchy>
    <cacheHierarchy uniqueName="[Measures].[Sample_n]" caption="Sample_n" measure="1" displayFolder="" measureGroup="global_supply_chain_risk_2026" count="0"/>
    <cacheHierarchy uniqueName="[Measures].[Flagged_Count]" caption="Flagged_Count" measure="1" displayFolder="" measureGroup="global_supply_chain_risk_2026" count="0"/>
    <cacheHierarchy uniqueName="[Measures].[Avg_Distance]" caption="Avg_Distance" measure="1" displayFolder="" measureGroup="global_supply_chain_risk_2026" count="0"/>
    <cacheHierarchy uniqueName="[Measures].[Avg_Weight]" caption="Avg_Weight" measure="1" displayFolder="" measureGroup="global_supply_chain_risk_2026" count="0"/>
    <cacheHierarchy uniqueName="[Measures].[__XL_Count global_supply_chain_risk_2026]" caption="__XL_Count global_supply_chain_risk_2026" measure="1" displayFolder="" measureGroup="global_supply_chain_risk_2026" count="0" hidden="1"/>
    <cacheHierarchy uniqueName="[Measures].[__XL_Count PortRef 1]" caption="__XL_Count PortRef 1" measure="1" displayFolder="" measureGroup="PortRef 1" count="0" hidden="1"/>
    <cacheHierarchy uniqueName="[Measures].[__No measures defined]" caption="__No measures defined" measure="1" displayFolder="" count="0" hidden="1"/>
  </cacheHierarchies>
  <kpis count="0"/>
  <dimensions count="3">
    <dimension name="global_supply_chain_risk_2026" uniqueName="[global_supply_chain_risk_2026]" caption="global_supply_chain_risk_2026"/>
    <dimension measure="1" name="Measures" uniqueName="[Measures]" caption="Measures"/>
    <dimension name="PortRef 1" uniqueName="[PortRef 1]" caption="PortRef 1"/>
  </dimensions>
  <measureGroups count="2">
    <measureGroup name="global_supply_chain_risk_2026" caption="global_supply_chain_risk_2026"/>
    <measureGroup name="PortRef 1" caption="PortRef 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463340740738" backgroundQuery="1" createdVersion="7" refreshedVersion="7" minRefreshableVersion="3" recordCount="0" supportSubquery="1" supportAdvancedDrill="1" xr:uid="{586341AC-FC14-43F7-A942-D92AF5DCCCF0}">
  <cacheSource type="external" connectionId="3"/>
  <cacheFields count="12">
    <cacheField name="[global_supply_chain_risk_2026].[Product_Category].[Product_Category]" caption="Product_Category" numFmtId="0" hierarchy="5" level="1">
      <sharedItems count="5">
        <s v="Automotive"/>
        <s v="Electronics"/>
        <s v="Perishables"/>
        <s v="Pharmaceuticals"/>
        <s v="Textiles"/>
      </sharedItems>
    </cacheField>
    <cacheField name="[global_supply_chain_risk_2026].[Transport_Mode].[Transport_Mode]" caption="Transport_Mode" numFmtId="0" hierarchy="4" level="1">
      <sharedItems count="4">
        <s v="Air"/>
        <s v="Rail"/>
        <s v="Road"/>
        <s v="Sea"/>
      </sharedItems>
    </cacheField>
    <cacheField name="[Measures].[Total_Weight_MT]" caption="Total_Weight_MT" numFmtId="0" hierarchy="28" level="32767"/>
    <cacheField name="[Measures].[Sum of Distance_km]" caption="Sum of Distance_km" numFmtId="0" hierarchy="23" level="32767"/>
    <cacheField name="[global_supply_chain_risk_2026].[Route_Plausibility].[Route_Plausibility]" caption="Route_Plausibility" numFmtId="0" hierarchy="19" level="1">
      <sharedItems containsSemiMixedTypes="0" containsNonDate="0" containsString="0"/>
    </cacheField>
    <cacheField name="[global_supply_chain_risk_2026].[Cross_Continent].[Cross_Continent]" caption="Cross_Continent" numFmtId="0" hierarchy="18" level="1">
      <sharedItems containsSemiMixedTypes="0" containsNonDate="0" containsString="0"/>
    </cacheField>
    <cacheField name="[global_supply_chain_risk_2026].[Destination_Continent].[Destination_Continent]" caption="Destination_Continent" numFmtId="0" hierarchy="17" level="1">
      <sharedItems containsSemiMixedTypes="0" containsNonDate="0" containsString="0"/>
    </cacheField>
    <cacheField name="[global_supply_chain_risk_2026].[Origin_Continent].[Origin_Continent]" caption="Origin_Continent" numFmtId="0" hierarchy="16" level="1">
      <sharedItems containsSemiMixedTypes="0" containsNonDate="0" containsString="0"/>
    </cacheField>
    <cacheField name="[Measures].[Avg_Distance]" caption="Avg_Distance" numFmtId="0" hierarchy="32" level="32767"/>
    <cacheField name="[Measures].[Avg_Weight]" caption="Avg_Weight" numFmtId="0" hierarchy="33" level="32767"/>
    <cacheField name="[global_supply_chain_risk_2026].[Date].[Date]" caption="Date" numFmtId="0" hierarchy="1" level="1">
      <sharedItems containsSemiMixedTypes="0" containsNonDate="0" containsString="0"/>
    </cacheField>
    <cacheField name="[global_supply_chain_risk_2026].[Weather_Condition].[Weather_Condition]" caption="Weather_Condition" numFmtId="0" hierarchy="10" level="1">
      <sharedItems containsSemiMixedTypes="0" containsNonDate="0" containsString="0"/>
    </cacheField>
  </cacheFields>
  <cacheHierarchies count="37">
    <cacheHierarchy uniqueName="[global_supply_chain_risk_2026].[Shipment_ID]" caption="Shipment_ID" attribute="1" defaultMemberUniqueName="[global_supply_chain_risk_2026].[Shipment_ID].[All]" allUniqueName="[global_supply_chain_risk_2026].[Shipment_ID].[All]" dimensionUniqueName="[global_supply_chain_risk_2026]" displayFolder="" count="0" memberValueDatatype="130" unbalanced="0"/>
    <cacheHierarchy uniqueName="[global_supply_chain_risk_2026].[Date]" caption="Date" attribute="1" time="1" defaultMemberUniqueName="[global_supply_chain_risk_2026].[Date].[All]" allUniqueName="[global_supply_chain_risk_2026].[Date].[All]" dimensionUniqueName="[global_supply_chain_risk_2026]" displayFolder="" count="2" memberValueDatatype="7" unbalanced="0">
      <fieldsUsage count="2">
        <fieldUsage x="-1"/>
        <fieldUsage x="10"/>
      </fieldsUsage>
    </cacheHierarchy>
    <cacheHierarchy uniqueName="[global_supply_chain_risk_2026].[Origin_Port]" caption="Origin_Port" attribute="1" defaultMemberUniqueName="[global_supply_chain_risk_2026].[Origin_Port].[All]" allUniqueName="[global_supply_chain_risk_2026].[Origin_Port].[All]" dimensionUniqueName="[global_supply_chain_risk_2026]" displayFolder="" count="0" memberValueDatatype="130" unbalanced="0"/>
    <cacheHierarchy uniqueName="[global_supply_chain_risk_2026].[Destination_Port]" caption="Destination_Port" attribute="1" defaultMemberUniqueName="[global_supply_chain_risk_2026].[Destination_Port].[All]" allUniqueName="[global_supply_chain_risk_2026].[Destination_Port].[All]" dimensionUniqueName="[global_supply_chain_risk_2026]" displayFolder="" count="0" memberValueDatatype="130" unbalanced="0"/>
    <cacheHierarchy uniqueName="[global_supply_chain_risk_2026].[Transport_Mode]" caption="Transport_Mode" attribute="1" defaultMemberUniqueName="[global_supply_chain_risk_2026].[Transport_Mode].[All]" allUniqueName="[global_supply_chain_risk_2026].[Transport_Mode].[All]" dimensionUniqueName="[global_supply_chain_risk_2026]" displayFolder="" count="2" memberValueDatatype="130" unbalanced="0">
      <fieldsUsage count="2">
        <fieldUsage x="-1"/>
        <fieldUsage x="1"/>
      </fieldsUsage>
    </cacheHierarchy>
    <cacheHierarchy uniqueName="[global_supply_chain_risk_2026].[Product_Category]" caption="Product_Category" attribute="1" defaultMemberUniqueName="[global_supply_chain_risk_2026].[Product_Category].[All]" allUniqueName="[global_supply_chain_risk_2026].[Product_Category].[All]" dimensionUniqueName="[global_supply_chain_risk_2026]" displayFolder="" count="2" memberValueDatatype="130" unbalanced="0">
      <fieldsUsage count="2">
        <fieldUsage x="-1"/>
        <fieldUsage x="0"/>
      </fieldsUsage>
    </cacheHierarchy>
    <cacheHierarchy uniqueName="[global_supply_chain_risk_2026].[Distance_km]" caption="Distance_km" attribute="1" defaultMemberUniqueName="[global_supply_chain_risk_2026].[Distance_km].[All]" allUniqueName="[global_supply_chain_risk_2026].[Distance_km].[All]" dimensionUniqueName="[global_supply_chain_risk_2026]" displayFolder="" count="0" memberValueDatatype="5" unbalanced="0"/>
    <cacheHierarchy uniqueName="[global_supply_chain_risk_2026].[Weight_MT]" caption="Weight_MT" attribute="1" defaultMemberUniqueName="[global_supply_chain_risk_2026].[Weight_MT].[All]" allUniqueName="[global_supply_chain_risk_2026].[Weight_MT].[All]" dimensionUniqueName="[global_supply_chain_risk_2026]" displayFolder="" count="0" memberValueDatatype="5" unbalanced="0"/>
    <cacheHierarchy uniqueName="[global_supply_chain_risk_2026].[Fuel_Price_Index]" caption="Fuel_Price_Index" attribute="1" defaultMemberUniqueName="[global_supply_chain_risk_2026].[Fuel_Price_Index].[All]" allUniqueName="[global_supply_chain_risk_2026].[Fuel_Price_Index].[All]" dimensionUniqueName="[global_supply_chain_risk_2026]" displayFolder="" count="0" memberValueDatatype="5" unbalanced="0"/>
    <cacheHierarchy uniqueName="[global_supply_chain_risk_2026].[Geopolitical_Risk_Score]" caption="Geopolitical_Risk_Score" attribute="1" defaultMemberUniqueName="[global_supply_chain_risk_2026].[Geopolitical_Risk_Score].[All]" allUniqueName="[global_supply_chain_risk_2026].[Geopolitical_Risk_Score].[All]" dimensionUniqueName="[global_supply_chain_risk_2026]" displayFolder="" count="0" memberValueDatatype="5" unbalanced="0"/>
    <cacheHierarchy uniqueName="[global_supply_chain_risk_2026].[Weather_Condition]" caption="Weather_Condition" attribute="1" defaultMemberUniqueName="[global_supply_chain_risk_2026].[Weather_Condition].[All]" allUniqueName="[global_supply_chain_risk_2026].[Weather_Condition].[All]" dimensionUniqueName="[global_supply_chain_risk_2026]" displayFolder="" count="2" memberValueDatatype="130" unbalanced="0">
      <fieldsUsage count="2">
        <fieldUsage x="-1"/>
        <fieldUsage x="11"/>
      </fieldsUsage>
    </cacheHierarchy>
    <cacheHierarchy uniqueName="[global_supply_chain_risk_2026].[Carrier_Reliability_Score]" caption="Carrier_Reliability_Score" attribute="1" defaultMemberUniqueName="[global_supply_chain_risk_2026].[Carrier_Reliability_Score].[All]" allUniqueName="[global_supply_chain_risk_2026].[Carrier_Reliability_Score].[All]" dimensionUniqueName="[global_supply_chain_risk_2026]" displayFolder="" count="0" memberValueDatatype="5" unbalanced="0"/>
    <cacheHierarchy uniqueName="[global_supply_chain_risk_2026].[Lead_Time_Days]" caption="Lead_Time_Days" attribute="1" defaultMemberUniqueName="[global_supply_chain_risk_2026].[Lead_Time_Days].[All]" allUniqueName="[global_supply_chain_risk_2026].[Lead_Time_Days].[All]" dimensionUniqueName="[global_supply_chain_risk_2026]" displayFolder="" count="0" memberValueDatatype="5" unbalanced="0"/>
    <cacheHierarchy uniqueName="[global_supply_chain_risk_2026].[Disruption_Occurred]" caption="Disruption_Occurred" attribute="1" defaultMemberUniqueName="[global_supply_chain_risk_2026].[Disruption_Occurred].[All]" allUniqueName="[global_supply_chain_risk_2026].[Disruption_Occurred].[All]" dimensionUniqueName="[global_supply_chain_risk_2026]" displayFolder="" count="0" memberValueDatatype="5" unbalanced="0"/>
    <cacheHierarchy uniqueName="[global_supply_chain_risk_2026].[Fuel_Price_Bracket]" caption="Fuel_Price_Bracket" attribute="1" defaultMemberUniqueName="[global_supply_chain_risk_2026].[Fuel_Price_Bracket].[All]" allUniqueName="[global_supply_chain_risk_2026].[Fuel_Price_Bracket].[All]" dimensionUniqueName="[global_supply_chain_risk_2026]" displayFolder="" count="0" memberValueDatatype="130" unbalanced="0"/>
    <cacheHierarchy uniqueName="[global_supply_chain_risk_2026].[Mode_Route_Flag]" caption="Mode_Route_Flag" attribute="1" defaultMemberUniqueName="[global_supply_chain_risk_2026].[Mode_Route_Flag].[All]" allUniqueName="[global_supply_chain_risk_2026].[Mode_Route_Flag].[All]" dimensionUniqueName="[global_supply_chain_risk_2026]" displayFolder="" count="0" memberValueDatatype="130" unbalanced="0"/>
    <cacheHierarchy uniqueName="[global_supply_chain_risk_2026].[Origin_Continent]" caption="Origin_Continent" attribute="1" defaultMemberUniqueName="[global_supply_chain_risk_2026].[Origin_Continent].[All]" allUniqueName="[global_supply_chain_risk_2026].[Origin_Continent].[All]" dimensionUniqueName="[global_supply_chain_risk_2026]" displayFolder="" count="2" memberValueDatatype="130" unbalanced="0">
      <fieldsUsage count="2">
        <fieldUsage x="-1"/>
        <fieldUsage x="7"/>
      </fieldsUsage>
    </cacheHierarchy>
    <cacheHierarchy uniqueName="[global_supply_chain_risk_2026].[Destination_Continent]" caption="Destination_Continent" attribute="1" defaultMemberUniqueName="[global_supply_chain_risk_2026].[Destination_Continent].[All]" allUniqueName="[global_supply_chain_risk_2026].[Destination_Continent].[All]" dimensionUniqueName="[global_supply_chain_risk_2026]" displayFolder="" count="2" memberValueDatatype="130" unbalanced="0">
      <fieldsUsage count="2">
        <fieldUsage x="-1"/>
        <fieldUsage x="6"/>
      </fieldsUsage>
    </cacheHierarchy>
    <cacheHierarchy uniqueName="[global_supply_chain_risk_2026].[Cross_Continent]" caption="Cross_Continent" attribute="1" defaultMemberUniqueName="[global_supply_chain_risk_2026].[Cross_Continent].[All]" allUniqueName="[global_supply_chain_risk_2026].[Cross_Continent].[All]" dimensionUniqueName="[global_supply_chain_risk_2026]" displayFolder="" count="2" memberValueDatatype="130" unbalanced="0">
      <fieldsUsage count="2">
        <fieldUsage x="-1"/>
        <fieldUsage x="5"/>
      </fieldsUsage>
    </cacheHierarchy>
    <cacheHierarchy uniqueName="[global_supply_chain_risk_2026].[Route_Plausibility]" caption="Route_Plausibility" attribute="1" defaultMemberUniqueName="[global_supply_chain_risk_2026].[Route_Plausibility].[All]" allUniqueName="[global_supply_chain_risk_2026].[Route_Plausibility].[All]" dimensionUniqueName="[global_supply_chain_risk_2026]" displayFolder="" count="2" memberValueDatatype="130" unbalanced="0">
      <fieldsUsage count="2">
        <fieldUsage x="-1"/>
        <fieldUsage x="4"/>
      </fieldsUsage>
    </cacheHierarchy>
    <cacheHierarchy uniqueName="[global_supply_chain_risk_2026].[Fuel_Bracket_Label]" caption="Fuel_Bracket_Label" attribute="1" defaultMemberUniqueName="[global_supply_chain_risk_2026].[Fuel_Bracket_Label].[All]" allUniqueName="[global_supply_chain_risk_2026].[Fuel_Bracket_Label].[All]" dimensionUniqueName="[global_supply_chain_risk_2026]" displayFolder="" count="0" memberValueDatatype="130" unbalanced="0"/>
    <cacheHierarchy uniqueName="[PortRef 1].[Port]" caption="Port" attribute="1" defaultMemberUniqueName="[PortRef 1].[Port].[All]" allUniqueName="[PortRef 1].[Port].[All]" dimensionUniqueName="[PortRef 1]" displayFolder="" count="0" memberValueDatatype="130" unbalanced="0"/>
    <cacheHierarchy uniqueName="[PortRef 1].[Continent]" caption="Continent" attribute="1" defaultMemberUniqueName="[PortRef 1].[Continent].[All]" allUniqueName="[PortRef 1].[Continent].[All]" dimensionUniqueName="[PortRef 1]" displayFolder="" count="0" memberValueDatatype="130" unbalanced="0"/>
    <cacheHierarchy uniqueName="[Measures].[Sum of Distance_km]" caption="Sum of Distance_km" measure="1" displayFolder="" measureGroup="global_supply_chain_risk_2026" count="0" oneField="1">
      <fieldsUsage count="1">
        <fieldUsage x="3"/>
      </fieldsUsage>
      <extLst>
        <ext xmlns:x15="http://schemas.microsoft.com/office/spreadsheetml/2010/11/main" uri="{B97F6D7D-B522-45F9-BDA1-12C45D357490}">
          <x15:cacheHierarchy aggregatedColumn="6"/>
        </ext>
      </extLst>
    </cacheHierarchy>
    <cacheHierarchy uniqueName="[Measures].[Sum of Geopolitical_Risk_Score]" caption="Sum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erage of Geopolitical_Risk_Score]" caption="Average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g_Lead_Time]" caption="Avg_Lead_Time" measure="1" displayFolder="" measureGroup="global_supply_chain_risk_2026" count="0"/>
    <cacheHierarchy uniqueName="[Measures].[Avg_Reliability]" caption="Avg_Reliability" measure="1" displayFolder="" measureGroup="global_supply_chain_risk_2026" count="0"/>
    <cacheHierarchy uniqueName="[Measures].[Total_Weight_MT]" caption="Total_Weight_MT" measure="1" displayFolder="" measureGroup="global_supply_chain_risk_2026" count="0" oneField="1">
      <fieldsUsage count="1">
        <fieldUsage x="2"/>
      </fieldsUsage>
    </cacheHierarchy>
    <cacheHierarchy uniqueName="[Measures].[Disruption_Rate_PCT]" caption="Disruption_Rate_PCT" measure="1" displayFolder="" measureGroup="global_supply_chain_risk_2026" count="0"/>
    <cacheHierarchy uniqueName="[Measures].[Sample_n]" caption="Sample_n" measure="1" displayFolder="" measureGroup="global_supply_chain_risk_2026" count="0"/>
    <cacheHierarchy uniqueName="[Measures].[Flagged_Count]" caption="Flagged_Count" measure="1" displayFolder="" measureGroup="global_supply_chain_risk_2026" count="0"/>
    <cacheHierarchy uniqueName="[Measures].[Avg_Distance]" caption="Avg_Distance" measure="1" displayFolder="" measureGroup="global_supply_chain_risk_2026" count="0" oneField="1">
      <fieldsUsage count="1">
        <fieldUsage x="8"/>
      </fieldsUsage>
    </cacheHierarchy>
    <cacheHierarchy uniqueName="[Measures].[Avg_Weight]" caption="Avg_Weight" measure="1" displayFolder="" measureGroup="global_supply_chain_risk_2026" count="0" oneField="1">
      <fieldsUsage count="1">
        <fieldUsage x="9"/>
      </fieldsUsage>
    </cacheHierarchy>
    <cacheHierarchy uniqueName="[Measures].[__XL_Count global_supply_chain_risk_2026]" caption="__XL_Count global_supply_chain_risk_2026" measure="1" displayFolder="" measureGroup="global_supply_chain_risk_2026" count="0" hidden="1"/>
    <cacheHierarchy uniqueName="[Measures].[__XL_Count PortRef 1]" caption="__XL_Count PortRef 1" measure="1" displayFolder="" measureGroup="PortRef 1" count="0" hidden="1"/>
    <cacheHierarchy uniqueName="[Measures].[__No measures defined]" caption="__No measures defined" measure="1" displayFolder="" count="0" hidden="1"/>
  </cacheHierarchies>
  <kpis count="0"/>
  <dimensions count="3">
    <dimension name="global_supply_chain_risk_2026" uniqueName="[global_supply_chain_risk_2026]" caption="global_supply_chain_risk_2026"/>
    <dimension measure="1" name="Measures" uniqueName="[Measures]" caption="Measures"/>
    <dimension name="PortRef 1" uniqueName="[PortRef 1]" caption="PortRef 1"/>
  </dimensions>
  <measureGroups count="2">
    <measureGroup name="global_supply_chain_risk_2026" caption="global_supply_chain_risk_2026"/>
    <measureGroup name="PortRef 1" caption="PortRef 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463344444448" backgroundQuery="1" createdVersion="7" refreshedVersion="7" minRefreshableVersion="3" recordCount="0" supportSubquery="1" supportAdvancedDrill="1" xr:uid="{37C788E4-EE09-4EED-9A97-D18149117196}">
  <cacheSource type="external" connectionId="3"/>
  <cacheFields count="10">
    <cacheField name="[global_supply_chain_risk_2026].[Transport_Mode].[Transport_Mode]" caption="Transport_Mode" numFmtId="0" hierarchy="4" level="1">
      <sharedItems count="4">
        <s v="Air"/>
        <s v="Rail"/>
        <s v="Road"/>
        <s v="Sea"/>
      </sharedItems>
    </cacheField>
    <cacheField name="[Measures].[Avg_Reliability]" caption="Avg_Reliability" numFmtId="0" hierarchy="27" level="32767"/>
    <cacheField name="[global_supply_chain_risk_2026].[Route_Plausibility].[Route_Plausibility]" caption="Route_Plausibility" numFmtId="0" hierarchy="19" level="1">
      <sharedItems containsSemiMixedTypes="0" containsNonDate="0" containsString="0"/>
    </cacheField>
    <cacheField name="[global_supply_chain_risk_2026].[Cross_Continent].[Cross_Continent]" caption="Cross_Continent" numFmtId="0" hierarchy="18" level="1">
      <sharedItems containsSemiMixedTypes="0" containsNonDate="0" containsString="0"/>
    </cacheField>
    <cacheField name="[global_supply_chain_risk_2026].[Destination_Continent].[Destination_Continent]" caption="Destination_Continent" numFmtId="0" hierarchy="17" level="1">
      <sharedItems containsSemiMixedTypes="0" containsNonDate="0" containsString="0"/>
    </cacheField>
    <cacheField name="[global_supply_chain_risk_2026].[Origin_Continent].[Origin_Continent]" caption="Origin_Continent" numFmtId="0" hierarchy="16" level="1">
      <sharedItems containsSemiMixedTypes="0" containsNonDate="0" containsString="0"/>
    </cacheField>
    <cacheField name="[global_supply_chain_risk_2026].[Fuel_Bracket_Label].[Fuel_Bracket_Label]" caption="Fuel_Bracket_Label" numFmtId="0" hierarchy="20" level="1">
      <sharedItems count="3">
        <s v="High Index (&gt;3.5)"/>
        <s v="Low Index (1.0–2.0)"/>
        <s v="Mid Index (2.0–3.5)"/>
      </sharedItems>
    </cacheField>
    <cacheField name="[global_supply_chain_risk_2026].[Date].[Date]" caption="Date" numFmtId="0" hierarchy="1" level="1">
      <sharedItems containsSemiMixedTypes="0" containsNonDate="0" containsString="0"/>
    </cacheField>
    <cacheField name="[global_supply_chain_risk_2026].[Product_Category].[Product_Category]" caption="Product_Category" numFmtId="0" hierarchy="5" level="1">
      <sharedItems containsSemiMixedTypes="0" containsNonDate="0" containsString="0"/>
    </cacheField>
    <cacheField name="[global_supply_chain_risk_2026].[Weather_Condition].[Weather_Condition]" caption="Weather_Condition" numFmtId="0" hierarchy="10" level="1">
      <sharedItems containsSemiMixedTypes="0" containsNonDate="0" containsString="0"/>
    </cacheField>
  </cacheFields>
  <cacheHierarchies count="37">
    <cacheHierarchy uniqueName="[global_supply_chain_risk_2026].[Shipment_ID]" caption="Shipment_ID" attribute="1" defaultMemberUniqueName="[global_supply_chain_risk_2026].[Shipment_ID].[All]" allUniqueName="[global_supply_chain_risk_2026].[Shipment_ID].[All]" dimensionUniqueName="[global_supply_chain_risk_2026]" displayFolder="" count="0" memberValueDatatype="130" unbalanced="0"/>
    <cacheHierarchy uniqueName="[global_supply_chain_risk_2026].[Date]" caption="Date" attribute="1" time="1" defaultMemberUniqueName="[global_supply_chain_risk_2026].[Date].[All]" allUniqueName="[global_supply_chain_risk_2026].[Date].[All]" dimensionUniqueName="[global_supply_chain_risk_2026]" displayFolder="" count="2" memberValueDatatype="7" unbalanced="0">
      <fieldsUsage count="2">
        <fieldUsage x="-1"/>
        <fieldUsage x="7"/>
      </fieldsUsage>
    </cacheHierarchy>
    <cacheHierarchy uniqueName="[global_supply_chain_risk_2026].[Origin_Port]" caption="Origin_Port" attribute="1" defaultMemberUniqueName="[global_supply_chain_risk_2026].[Origin_Port].[All]" allUniqueName="[global_supply_chain_risk_2026].[Origin_Port].[All]" dimensionUniqueName="[global_supply_chain_risk_2026]" displayFolder="" count="0" memberValueDatatype="130" unbalanced="0"/>
    <cacheHierarchy uniqueName="[global_supply_chain_risk_2026].[Destination_Port]" caption="Destination_Port" attribute="1" defaultMemberUniqueName="[global_supply_chain_risk_2026].[Destination_Port].[All]" allUniqueName="[global_supply_chain_risk_2026].[Destination_Port].[All]" dimensionUniqueName="[global_supply_chain_risk_2026]" displayFolder="" count="0" memberValueDatatype="130" unbalanced="0"/>
    <cacheHierarchy uniqueName="[global_supply_chain_risk_2026].[Transport_Mode]" caption="Transport_Mode" attribute="1" defaultMemberUniqueName="[global_supply_chain_risk_2026].[Transport_Mode].[All]" allUniqueName="[global_supply_chain_risk_2026].[Transport_Mode].[All]" dimensionUniqueName="[global_supply_chain_risk_2026]" displayFolder="" count="2" memberValueDatatype="130" unbalanced="0">
      <fieldsUsage count="2">
        <fieldUsage x="-1"/>
        <fieldUsage x="0"/>
      </fieldsUsage>
    </cacheHierarchy>
    <cacheHierarchy uniqueName="[global_supply_chain_risk_2026].[Product_Category]" caption="Product_Category" attribute="1" defaultMemberUniqueName="[global_supply_chain_risk_2026].[Product_Category].[All]" allUniqueName="[global_supply_chain_risk_2026].[Product_Category].[All]" dimensionUniqueName="[global_supply_chain_risk_2026]" displayFolder="" count="2" memberValueDatatype="130" unbalanced="0">
      <fieldsUsage count="2">
        <fieldUsage x="-1"/>
        <fieldUsage x="8"/>
      </fieldsUsage>
    </cacheHierarchy>
    <cacheHierarchy uniqueName="[global_supply_chain_risk_2026].[Distance_km]" caption="Distance_km" attribute="1" defaultMemberUniqueName="[global_supply_chain_risk_2026].[Distance_km].[All]" allUniqueName="[global_supply_chain_risk_2026].[Distance_km].[All]" dimensionUniqueName="[global_supply_chain_risk_2026]" displayFolder="" count="0" memberValueDatatype="5" unbalanced="0"/>
    <cacheHierarchy uniqueName="[global_supply_chain_risk_2026].[Weight_MT]" caption="Weight_MT" attribute="1" defaultMemberUniqueName="[global_supply_chain_risk_2026].[Weight_MT].[All]" allUniqueName="[global_supply_chain_risk_2026].[Weight_MT].[All]" dimensionUniqueName="[global_supply_chain_risk_2026]" displayFolder="" count="0" memberValueDatatype="5" unbalanced="0"/>
    <cacheHierarchy uniqueName="[global_supply_chain_risk_2026].[Fuel_Price_Index]" caption="Fuel_Price_Index" attribute="1" defaultMemberUniqueName="[global_supply_chain_risk_2026].[Fuel_Price_Index].[All]" allUniqueName="[global_supply_chain_risk_2026].[Fuel_Price_Index].[All]" dimensionUniqueName="[global_supply_chain_risk_2026]" displayFolder="" count="0" memberValueDatatype="5" unbalanced="0"/>
    <cacheHierarchy uniqueName="[global_supply_chain_risk_2026].[Geopolitical_Risk_Score]" caption="Geopolitical_Risk_Score" attribute="1" defaultMemberUniqueName="[global_supply_chain_risk_2026].[Geopolitical_Risk_Score].[All]" allUniqueName="[global_supply_chain_risk_2026].[Geopolitical_Risk_Score].[All]" dimensionUniqueName="[global_supply_chain_risk_2026]" displayFolder="" count="0" memberValueDatatype="5" unbalanced="0"/>
    <cacheHierarchy uniqueName="[global_supply_chain_risk_2026].[Weather_Condition]" caption="Weather_Condition" attribute="1" defaultMemberUniqueName="[global_supply_chain_risk_2026].[Weather_Condition].[All]" allUniqueName="[global_supply_chain_risk_2026].[Weather_Condition].[All]" dimensionUniqueName="[global_supply_chain_risk_2026]" displayFolder="" count="2" memberValueDatatype="130" unbalanced="0">
      <fieldsUsage count="2">
        <fieldUsage x="-1"/>
        <fieldUsage x="9"/>
      </fieldsUsage>
    </cacheHierarchy>
    <cacheHierarchy uniqueName="[global_supply_chain_risk_2026].[Carrier_Reliability_Score]" caption="Carrier_Reliability_Score" attribute="1" defaultMemberUniqueName="[global_supply_chain_risk_2026].[Carrier_Reliability_Score].[All]" allUniqueName="[global_supply_chain_risk_2026].[Carrier_Reliability_Score].[All]" dimensionUniqueName="[global_supply_chain_risk_2026]" displayFolder="" count="0" memberValueDatatype="5" unbalanced="0"/>
    <cacheHierarchy uniqueName="[global_supply_chain_risk_2026].[Lead_Time_Days]" caption="Lead_Time_Days" attribute="1" defaultMemberUniqueName="[global_supply_chain_risk_2026].[Lead_Time_Days].[All]" allUniqueName="[global_supply_chain_risk_2026].[Lead_Time_Days].[All]" dimensionUniqueName="[global_supply_chain_risk_2026]" displayFolder="" count="0" memberValueDatatype="5" unbalanced="0"/>
    <cacheHierarchy uniqueName="[global_supply_chain_risk_2026].[Disruption_Occurred]" caption="Disruption_Occurred" attribute="1" defaultMemberUniqueName="[global_supply_chain_risk_2026].[Disruption_Occurred].[All]" allUniqueName="[global_supply_chain_risk_2026].[Disruption_Occurred].[All]" dimensionUniqueName="[global_supply_chain_risk_2026]" displayFolder="" count="0" memberValueDatatype="5" unbalanced="0"/>
    <cacheHierarchy uniqueName="[global_supply_chain_risk_2026].[Fuel_Price_Bracket]" caption="Fuel_Price_Bracket" attribute="1" defaultMemberUniqueName="[global_supply_chain_risk_2026].[Fuel_Price_Bracket].[All]" allUniqueName="[global_supply_chain_risk_2026].[Fuel_Price_Bracket].[All]" dimensionUniqueName="[global_supply_chain_risk_2026]" displayFolder="" count="0" memberValueDatatype="130" unbalanced="0"/>
    <cacheHierarchy uniqueName="[global_supply_chain_risk_2026].[Mode_Route_Flag]" caption="Mode_Route_Flag" attribute="1" defaultMemberUniqueName="[global_supply_chain_risk_2026].[Mode_Route_Flag].[All]" allUniqueName="[global_supply_chain_risk_2026].[Mode_Route_Flag].[All]" dimensionUniqueName="[global_supply_chain_risk_2026]" displayFolder="" count="0" memberValueDatatype="130" unbalanced="0"/>
    <cacheHierarchy uniqueName="[global_supply_chain_risk_2026].[Origin_Continent]" caption="Origin_Continent" attribute="1" defaultMemberUniqueName="[global_supply_chain_risk_2026].[Origin_Continent].[All]" allUniqueName="[global_supply_chain_risk_2026].[Origin_Continent].[All]" dimensionUniqueName="[global_supply_chain_risk_2026]" displayFolder="" count="2" memberValueDatatype="130" unbalanced="0">
      <fieldsUsage count="2">
        <fieldUsage x="-1"/>
        <fieldUsage x="5"/>
      </fieldsUsage>
    </cacheHierarchy>
    <cacheHierarchy uniqueName="[global_supply_chain_risk_2026].[Destination_Continent]" caption="Destination_Continent" attribute="1" defaultMemberUniqueName="[global_supply_chain_risk_2026].[Destination_Continent].[All]" allUniqueName="[global_supply_chain_risk_2026].[Destination_Continent].[All]" dimensionUniqueName="[global_supply_chain_risk_2026]" displayFolder="" count="2" memberValueDatatype="130" unbalanced="0">
      <fieldsUsage count="2">
        <fieldUsage x="-1"/>
        <fieldUsage x="4"/>
      </fieldsUsage>
    </cacheHierarchy>
    <cacheHierarchy uniqueName="[global_supply_chain_risk_2026].[Cross_Continent]" caption="Cross_Continent" attribute="1" defaultMemberUniqueName="[global_supply_chain_risk_2026].[Cross_Continent].[All]" allUniqueName="[global_supply_chain_risk_2026].[Cross_Continent].[All]" dimensionUniqueName="[global_supply_chain_risk_2026]" displayFolder="" count="2" memberValueDatatype="130" unbalanced="0">
      <fieldsUsage count="2">
        <fieldUsage x="-1"/>
        <fieldUsage x="3"/>
      </fieldsUsage>
    </cacheHierarchy>
    <cacheHierarchy uniqueName="[global_supply_chain_risk_2026].[Route_Plausibility]" caption="Route_Plausibility" attribute="1" defaultMemberUniqueName="[global_supply_chain_risk_2026].[Route_Plausibility].[All]" allUniqueName="[global_supply_chain_risk_2026].[Route_Plausibility].[All]" dimensionUniqueName="[global_supply_chain_risk_2026]" displayFolder="" count="2" memberValueDatatype="130" unbalanced="0">
      <fieldsUsage count="2">
        <fieldUsage x="-1"/>
        <fieldUsage x="2"/>
      </fieldsUsage>
    </cacheHierarchy>
    <cacheHierarchy uniqueName="[global_supply_chain_risk_2026].[Fuel_Bracket_Label]" caption="Fuel_Bracket_Label" attribute="1" defaultMemberUniqueName="[global_supply_chain_risk_2026].[Fuel_Bracket_Label].[All]" allUniqueName="[global_supply_chain_risk_2026].[Fuel_Bracket_Label].[All]" dimensionUniqueName="[global_supply_chain_risk_2026]" displayFolder="" count="2" memberValueDatatype="130" unbalanced="0">
      <fieldsUsage count="2">
        <fieldUsage x="-1"/>
        <fieldUsage x="6"/>
      </fieldsUsage>
    </cacheHierarchy>
    <cacheHierarchy uniqueName="[PortRef 1].[Port]" caption="Port" attribute="1" defaultMemberUniqueName="[PortRef 1].[Port].[All]" allUniqueName="[PortRef 1].[Port].[All]" dimensionUniqueName="[PortRef 1]" displayFolder="" count="0" memberValueDatatype="130" unbalanced="0"/>
    <cacheHierarchy uniqueName="[PortRef 1].[Continent]" caption="Continent" attribute="1" defaultMemberUniqueName="[PortRef 1].[Continent].[All]" allUniqueName="[PortRef 1].[Continent].[All]" dimensionUniqueName="[PortRef 1]" displayFolder="" count="0" memberValueDatatype="130" unbalanced="0"/>
    <cacheHierarchy uniqueName="[Measures].[Sum of Distance_km]" caption="Sum of Distance_km" measure="1" displayFolder="" measureGroup="global_supply_chain_risk_2026" count="0">
      <extLst>
        <ext xmlns:x15="http://schemas.microsoft.com/office/spreadsheetml/2010/11/main" uri="{B97F6D7D-B522-45F9-BDA1-12C45D357490}">
          <x15:cacheHierarchy aggregatedColumn="6"/>
        </ext>
      </extLst>
    </cacheHierarchy>
    <cacheHierarchy uniqueName="[Measures].[Sum of Geopolitical_Risk_Score]" caption="Sum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erage of Geopolitical_Risk_Score]" caption="Average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g_Lead_Time]" caption="Avg_Lead_Time" measure="1" displayFolder="" measureGroup="global_supply_chain_risk_2026" count="0"/>
    <cacheHierarchy uniqueName="[Measures].[Avg_Reliability]" caption="Avg_Reliability" measure="1" displayFolder="" measureGroup="global_supply_chain_risk_2026" count="0" oneField="1">
      <fieldsUsage count="1">
        <fieldUsage x="1"/>
      </fieldsUsage>
    </cacheHierarchy>
    <cacheHierarchy uniqueName="[Measures].[Total_Weight_MT]" caption="Total_Weight_MT" measure="1" displayFolder="" measureGroup="global_supply_chain_risk_2026" count="0"/>
    <cacheHierarchy uniqueName="[Measures].[Disruption_Rate_PCT]" caption="Disruption_Rate_PCT" measure="1" displayFolder="" measureGroup="global_supply_chain_risk_2026" count="0"/>
    <cacheHierarchy uniqueName="[Measures].[Sample_n]" caption="Sample_n" measure="1" displayFolder="" measureGroup="global_supply_chain_risk_2026" count="0"/>
    <cacheHierarchy uniqueName="[Measures].[Flagged_Count]" caption="Flagged_Count" measure="1" displayFolder="" measureGroup="global_supply_chain_risk_2026" count="0"/>
    <cacheHierarchy uniqueName="[Measures].[Avg_Distance]" caption="Avg_Distance" measure="1" displayFolder="" measureGroup="global_supply_chain_risk_2026" count="0"/>
    <cacheHierarchy uniqueName="[Measures].[Avg_Weight]" caption="Avg_Weight" measure="1" displayFolder="" measureGroup="global_supply_chain_risk_2026" count="0"/>
    <cacheHierarchy uniqueName="[Measures].[__XL_Count global_supply_chain_risk_2026]" caption="__XL_Count global_supply_chain_risk_2026" measure="1" displayFolder="" measureGroup="global_supply_chain_risk_2026" count="0" hidden="1"/>
    <cacheHierarchy uniqueName="[Measures].[__XL_Count PortRef 1]" caption="__XL_Count PortRef 1" measure="1" displayFolder="" measureGroup="PortRef 1" count="0" hidden="1"/>
    <cacheHierarchy uniqueName="[Measures].[__No measures defined]" caption="__No measures defined" measure="1" displayFolder="" count="0" hidden="1"/>
  </cacheHierarchies>
  <kpis count="0"/>
  <dimensions count="3">
    <dimension name="global_supply_chain_risk_2026" uniqueName="[global_supply_chain_risk_2026]" caption="global_supply_chain_risk_2026"/>
    <dimension measure="1" name="Measures" uniqueName="[Measures]" caption="Measures"/>
    <dimension name="PortRef 1" uniqueName="[PortRef 1]" caption="PortRef 1"/>
  </dimensions>
  <measureGroups count="2">
    <measureGroup name="global_supply_chain_risk_2026" caption="global_supply_chain_risk_2026"/>
    <measureGroup name="PortRef 1" caption="PortRef 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463347337965" backgroundQuery="1" createdVersion="7" refreshedVersion="7" minRefreshableVersion="3" recordCount="0" supportSubquery="1" supportAdvancedDrill="1" xr:uid="{6128ABED-0417-4C6E-A8DD-C99AD24E7D79}">
  <cacheSource type="external" connectionId="3"/>
  <cacheFields count="10">
    <cacheField name="[global_supply_chain_risk_2026].[Origin_Port].[Origin_Port]" caption="Origin_Port" numFmtId="0" hierarchy="2" level="1">
      <sharedItems count="8">
        <s v="Antwerp"/>
        <s v="Busan"/>
        <s v="Dubai"/>
        <s v="Hamburg"/>
        <s v="Los Angeles"/>
        <s v="Rotterdam"/>
        <s v="Shanghai"/>
        <s v="Singapore"/>
      </sharedItems>
    </cacheField>
    <cacheField name="[global_supply_chain_risk_2026].[Transport_Mode].[Transport_Mode]" caption="Transport_Mode" numFmtId="0" hierarchy="4" level="1">
      <sharedItems count="4">
        <s v="Air"/>
        <s v="Rail"/>
        <s v="Road"/>
        <s v="Sea"/>
      </sharedItems>
    </cacheField>
    <cacheField name="[Measures].[Average of Geopolitical_Risk_Score]" caption="Average of Geopolitical_Risk_Score" numFmtId="0" hierarchy="25" level="32767"/>
    <cacheField name="[global_supply_chain_risk_2026].[Route_Plausibility].[Route_Plausibility]" caption="Route_Plausibility" numFmtId="0" hierarchy="19" level="1">
      <sharedItems containsSemiMixedTypes="0" containsNonDate="0" containsString="0"/>
    </cacheField>
    <cacheField name="[global_supply_chain_risk_2026].[Cross_Continent].[Cross_Continent]" caption="Cross_Continent" numFmtId="0" hierarchy="18" level="1">
      <sharedItems containsSemiMixedTypes="0" containsNonDate="0" containsString="0"/>
    </cacheField>
    <cacheField name="[global_supply_chain_risk_2026].[Destination_Continent].[Destination_Continent]" caption="Destination_Continent" numFmtId="0" hierarchy="17" level="1">
      <sharedItems containsSemiMixedTypes="0" containsNonDate="0" containsString="0"/>
    </cacheField>
    <cacheField name="[global_supply_chain_risk_2026].[Origin_Continent].[Origin_Continent]" caption="Origin_Continent" numFmtId="0" hierarchy="16" level="1">
      <sharedItems containsSemiMixedTypes="0" containsNonDate="0" containsString="0"/>
    </cacheField>
    <cacheField name="[global_supply_chain_risk_2026].[Date].[Date]" caption="Date" numFmtId="0" hierarchy="1" level="1">
      <sharedItems containsSemiMixedTypes="0" containsNonDate="0" containsString="0"/>
    </cacheField>
    <cacheField name="[global_supply_chain_risk_2026].[Product_Category].[Product_Category]" caption="Product_Category" numFmtId="0" hierarchy="5" level="1">
      <sharedItems containsSemiMixedTypes="0" containsNonDate="0" containsString="0"/>
    </cacheField>
    <cacheField name="[global_supply_chain_risk_2026].[Weather_Condition].[Weather_Condition]" caption="Weather_Condition" numFmtId="0" hierarchy="10" level="1">
      <sharedItems containsSemiMixedTypes="0" containsNonDate="0" containsString="0"/>
    </cacheField>
  </cacheFields>
  <cacheHierarchies count="37">
    <cacheHierarchy uniqueName="[global_supply_chain_risk_2026].[Shipment_ID]" caption="Shipment_ID" attribute="1" defaultMemberUniqueName="[global_supply_chain_risk_2026].[Shipment_ID].[All]" allUniqueName="[global_supply_chain_risk_2026].[Shipment_ID].[All]" dimensionUniqueName="[global_supply_chain_risk_2026]" displayFolder="" count="0" memberValueDatatype="130" unbalanced="0"/>
    <cacheHierarchy uniqueName="[global_supply_chain_risk_2026].[Date]" caption="Date" attribute="1" time="1" defaultMemberUniqueName="[global_supply_chain_risk_2026].[Date].[All]" allUniqueName="[global_supply_chain_risk_2026].[Date].[All]" dimensionUniqueName="[global_supply_chain_risk_2026]" displayFolder="" count="2" memberValueDatatype="7" unbalanced="0">
      <fieldsUsage count="2">
        <fieldUsage x="-1"/>
        <fieldUsage x="7"/>
      </fieldsUsage>
    </cacheHierarchy>
    <cacheHierarchy uniqueName="[global_supply_chain_risk_2026].[Origin_Port]" caption="Origin_Port" attribute="1" defaultMemberUniqueName="[global_supply_chain_risk_2026].[Origin_Port].[All]" allUniqueName="[global_supply_chain_risk_2026].[Origin_Port].[All]" dimensionUniqueName="[global_supply_chain_risk_2026]" displayFolder="" count="2" memberValueDatatype="130" unbalanced="0">
      <fieldsUsage count="2">
        <fieldUsage x="-1"/>
        <fieldUsage x="0"/>
      </fieldsUsage>
    </cacheHierarchy>
    <cacheHierarchy uniqueName="[global_supply_chain_risk_2026].[Destination_Port]" caption="Destination_Port" attribute="1" defaultMemberUniqueName="[global_supply_chain_risk_2026].[Destination_Port].[All]" allUniqueName="[global_supply_chain_risk_2026].[Destination_Port].[All]" dimensionUniqueName="[global_supply_chain_risk_2026]" displayFolder="" count="0" memberValueDatatype="130" unbalanced="0"/>
    <cacheHierarchy uniqueName="[global_supply_chain_risk_2026].[Transport_Mode]" caption="Transport_Mode" attribute="1" defaultMemberUniqueName="[global_supply_chain_risk_2026].[Transport_Mode].[All]" allUniqueName="[global_supply_chain_risk_2026].[Transport_Mode].[All]" dimensionUniqueName="[global_supply_chain_risk_2026]" displayFolder="" count="2" memberValueDatatype="130" unbalanced="0">
      <fieldsUsage count="2">
        <fieldUsage x="-1"/>
        <fieldUsage x="1"/>
      </fieldsUsage>
    </cacheHierarchy>
    <cacheHierarchy uniqueName="[global_supply_chain_risk_2026].[Product_Category]" caption="Product_Category" attribute="1" defaultMemberUniqueName="[global_supply_chain_risk_2026].[Product_Category].[All]" allUniqueName="[global_supply_chain_risk_2026].[Product_Category].[All]" dimensionUniqueName="[global_supply_chain_risk_2026]" displayFolder="" count="2" memberValueDatatype="130" unbalanced="0">
      <fieldsUsage count="2">
        <fieldUsage x="-1"/>
        <fieldUsage x="8"/>
      </fieldsUsage>
    </cacheHierarchy>
    <cacheHierarchy uniqueName="[global_supply_chain_risk_2026].[Distance_km]" caption="Distance_km" attribute="1" defaultMemberUniqueName="[global_supply_chain_risk_2026].[Distance_km].[All]" allUniqueName="[global_supply_chain_risk_2026].[Distance_km].[All]" dimensionUniqueName="[global_supply_chain_risk_2026]" displayFolder="" count="0" memberValueDatatype="5" unbalanced="0"/>
    <cacheHierarchy uniqueName="[global_supply_chain_risk_2026].[Weight_MT]" caption="Weight_MT" attribute="1" defaultMemberUniqueName="[global_supply_chain_risk_2026].[Weight_MT].[All]" allUniqueName="[global_supply_chain_risk_2026].[Weight_MT].[All]" dimensionUniqueName="[global_supply_chain_risk_2026]" displayFolder="" count="0" memberValueDatatype="5" unbalanced="0"/>
    <cacheHierarchy uniqueName="[global_supply_chain_risk_2026].[Fuel_Price_Index]" caption="Fuel_Price_Index" attribute="1" defaultMemberUniqueName="[global_supply_chain_risk_2026].[Fuel_Price_Index].[All]" allUniqueName="[global_supply_chain_risk_2026].[Fuel_Price_Index].[All]" dimensionUniqueName="[global_supply_chain_risk_2026]" displayFolder="" count="0" memberValueDatatype="5" unbalanced="0"/>
    <cacheHierarchy uniqueName="[global_supply_chain_risk_2026].[Geopolitical_Risk_Score]" caption="Geopolitical_Risk_Score" attribute="1" defaultMemberUniqueName="[global_supply_chain_risk_2026].[Geopolitical_Risk_Score].[All]" allUniqueName="[global_supply_chain_risk_2026].[Geopolitical_Risk_Score].[All]" dimensionUniqueName="[global_supply_chain_risk_2026]" displayFolder="" count="0" memberValueDatatype="5" unbalanced="0"/>
    <cacheHierarchy uniqueName="[global_supply_chain_risk_2026].[Weather_Condition]" caption="Weather_Condition" attribute="1" defaultMemberUniqueName="[global_supply_chain_risk_2026].[Weather_Condition].[All]" allUniqueName="[global_supply_chain_risk_2026].[Weather_Condition].[All]" dimensionUniqueName="[global_supply_chain_risk_2026]" displayFolder="" count="2" memberValueDatatype="130" unbalanced="0">
      <fieldsUsage count="2">
        <fieldUsage x="-1"/>
        <fieldUsage x="9"/>
      </fieldsUsage>
    </cacheHierarchy>
    <cacheHierarchy uniqueName="[global_supply_chain_risk_2026].[Carrier_Reliability_Score]" caption="Carrier_Reliability_Score" attribute="1" defaultMemberUniqueName="[global_supply_chain_risk_2026].[Carrier_Reliability_Score].[All]" allUniqueName="[global_supply_chain_risk_2026].[Carrier_Reliability_Score].[All]" dimensionUniqueName="[global_supply_chain_risk_2026]" displayFolder="" count="0" memberValueDatatype="5" unbalanced="0"/>
    <cacheHierarchy uniqueName="[global_supply_chain_risk_2026].[Lead_Time_Days]" caption="Lead_Time_Days" attribute="1" defaultMemberUniqueName="[global_supply_chain_risk_2026].[Lead_Time_Days].[All]" allUniqueName="[global_supply_chain_risk_2026].[Lead_Time_Days].[All]" dimensionUniqueName="[global_supply_chain_risk_2026]" displayFolder="" count="0" memberValueDatatype="5" unbalanced="0"/>
    <cacheHierarchy uniqueName="[global_supply_chain_risk_2026].[Disruption_Occurred]" caption="Disruption_Occurred" attribute="1" defaultMemberUniqueName="[global_supply_chain_risk_2026].[Disruption_Occurred].[All]" allUniqueName="[global_supply_chain_risk_2026].[Disruption_Occurred].[All]" dimensionUniqueName="[global_supply_chain_risk_2026]" displayFolder="" count="0" memberValueDatatype="5" unbalanced="0"/>
    <cacheHierarchy uniqueName="[global_supply_chain_risk_2026].[Fuel_Price_Bracket]" caption="Fuel_Price_Bracket" attribute="1" defaultMemberUniqueName="[global_supply_chain_risk_2026].[Fuel_Price_Bracket].[All]" allUniqueName="[global_supply_chain_risk_2026].[Fuel_Price_Bracket].[All]" dimensionUniqueName="[global_supply_chain_risk_2026]" displayFolder="" count="0" memberValueDatatype="130" unbalanced="0"/>
    <cacheHierarchy uniqueName="[global_supply_chain_risk_2026].[Mode_Route_Flag]" caption="Mode_Route_Flag" attribute="1" defaultMemberUniqueName="[global_supply_chain_risk_2026].[Mode_Route_Flag].[All]" allUniqueName="[global_supply_chain_risk_2026].[Mode_Route_Flag].[All]" dimensionUniqueName="[global_supply_chain_risk_2026]" displayFolder="" count="0" memberValueDatatype="130" unbalanced="0"/>
    <cacheHierarchy uniqueName="[global_supply_chain_risk_2026].[Origin_Continent]" caption="Origin_Continent" attribute="1" defaultMemberUniqueName="[global_supply_chain_risk_2026].[Origin_Continent].[All]" allUniqueName="[global_supply_chain_risk_2026].[Origin_Continent].[All]" dimensionUniqueName="[global_supply_chain_risk_2026]" displayFolder="" count="2" memberValueDatatype="130" unbalanced="0">
      <fieldsUsage count="2">
        <fieldUsage x="-1"/>
        <fieldUsage x="6"/>
      </fieldsUsage>
    </cacheHierarchy>
    <cacheHierarchy uniqueName="[global_supply_chain_risk_2026].[Destination_Continent]" caption="Destination_Continent" attribute="1" defaultMemberUniqueName="[global_supply_chain_risk_2026].[Destination_Continent].[All]" allUniqueName="[global_supply_chain_risk_2026].[Destination_Continent].[All]" dimensionUniqueName="[global_supply_chain_risk_2026]" displayFolder="" count="2" memberValueDatatype="130" unbalanced="0">
      <fieldsUsage count="2">
        <fieldUsage x="-1"/>
        <fieldUsage x="5"/>
      </fieldsUsage>
    </cacheHierarchy>
    <cacheHierarchy uniqueName="[global_supply_chain_risk_2026].[Cross_Continent]" caption="Cross_Continent" attribute="1" defaultMemberUniqueName="[global_supply_chain_risk_2026].[Cross_Continent].[All]" allUniqueName="[global_supply_chain_risk_2026].[Cross_Continent].[All]" dimensionUniqueName="[global_supply_chain_risk_2026]" displayFolder="" count="2" memberValueDatatype="130" unbalanced="0">
      <fieldsUsage count="2">
        <fieldUsage x="-1"/>
        <fieldUsage x="4"/>
      </fieldsUsage>
    </cacheHierarchy>
    <cacheHierarchy uniqueName="[global_supply_chain_risk_2026].[Route_Plausibility]" caption="Route_Plausibility" attribute="1" defaultMemberUniqueName="[global_supply_chain_risk_2026].[Route_Plausibility].[All]" allUniqueName="[global_supply_chain_risk_2026].[Route_Plausibility].[All]" dimensionUniqueName="[global_supply_chain_risk_2026]" displayFolder="" count="2" memberValueDatatype="130" unbalanced="0">
      <fieldsUsage count="2">
        <fieldUsage x="-1"/>
        <fieldUsage x="3"/>
      </fieldsUsage>
    </cacheHierarchy>
    <cacheHierarchy uniqueName="[global_supply_chain_risk_2026].[Fuel_Bracket_Label]" caption="Fuel_Bracket_Label" attribute="1" defaultMemberUniqueName="[global_supply_chain_risk_2026].[Fuel_Bracket_Label].[All]" allUniqueName="[global_supply_chain_risk_2026].[Fuel_Bracket_Label].[All]" dimensionUniqueName="[global_supply_chain_risk_2026]" displayFolder="" count="0" memberValueDatatype="130" unbalanced="0"/>
    <cacheHierarchy uniqueName="[PortRef 1].[Port]" caption="Port" attribute="1" defaultMemberUniqueName="[PortRef 1].[Port].[All]" allUniqueName="[PortRef 1].[Port].[All]" dimensionUniqueName="[PortRef 1]" displayFolder="" count="0" memberValueDatatype="130" unbalanced="0"/>
    <cacheHierarchy uniqueName="[PortRef 1].[Continent]" caption="Continent" attribute="1" defaultMemberUniqueName="[PortRef 1].[Continent].[All]" allUniqueName="[PortRef 1].[Continent].[All]" dimensionUniqueName="[PortRef 1]" displayFolder="" count="0" memberValueDatatype="130" unbalanced="0"/>
    <cacheHierarchy uniqueName="[Measures].[Sum of Distance_km]" caption="Sum of Distance_km" measure="1" displayFolder="" measureGroup="global_supply_chain_risk_2026" count="0">
      <extLst>
        <ext xmlns:x15="http://schemas.microsoft.com/office/spreadsheetml/2010/11/main" uri="{B97F6D7D-B522-45F9-BDA1-12C45D357490}">
          <x15:cacheHierarchy aggregatedColumn="6"/>
        </ext>
      </extLst>
    </cacheHierarchy>
    <cacheHierarchy uniqueName="[Measures].[Sum of Geopolitical_Risk_Score]" caption="Sum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erage of Geopolitical_Risk_Score]" caption="Average of Geopolitical_Risk_Score" measure="1" displayFolder="" measureGroup="global_supply_chain_risk_2026" count="0" oneField="1">
      <fieldsUsage count="1">
        <fieldUsage x="2"/>
      </fieldsUsage>
      <extLst>
        <ext xmlns:x15="http://schemas.microsoft.com/office/spreadsheetml/2010/11/main" uri="{B97F6D7D-B522-45F9-BDA1-12C45D357490}">
          <x15:cacheHierarchy aggregatedColumn="9"/>
        </ext>
      </extLst>
    </cacheHierarchy>
    <cacheHierarchy uniqueName="[Measures].[Avg_Lead_Time]" caption="Avg_Lead_Time" measure="1" displayFolder="" measureGroup="global_supply_chain_risk_2026" count="0"/>
    <cacheHierarchy uniqueName="[Measures].[Avg_Reliability]" caption="Avg_Reliability" measure="1" displayFolder="" measureGroup="global_supply_chain_risk_2026" count="0"/>
    <cacheHierarchy uniqueName="[Measures].[Total_Weight_MT]" caption="Total_Weight_MT" measure="1" displayFolder="" measureGroup="global_supply_chain_risk_2026" count="0"/>
    <cacheHierarchy uniqueName="[Measures].[Disruption_Rate_PCT]" caption="Disruption_Rate_PCT" measure="1" displayFolder="" measureGroup="global_supply_chain_risk_2026" count="0"/>
    <cacheHierarchy uniqueName="[Measures].[Sample_n]" caption="Sample_n" measure="1" displayFolder="" measureGroup="global_supply_chain_risk_2026" count="0"/>
    <cacheHierarchy uniqueName="[Measures].[Flagged_Count]" caption="Flagged_Count" measure="1" displayFolder="" measureGroup="global_supply_chain_risk_2026" count="0"/>
    <cacheHierarchy uniqueName="[Measures].[Avg_Distance]" caption="Avg_Distance" measure="1" displayFolder="" measureGroup="global_supply_chain_risk_2026" count="0"/>
    <cacheHierarchy uniqueName="[Measures].[Avg_Weight]" caption="Avg_Weight" measure="1" displayFolder="" measureGroup="global_supply_chain_risk_2026" count="0"/>
    <cacheHierarchy uniqueName="[Measures].[__XL_Count global_supply_chain_risk_2026]" caption="__XL_Count global_supply_chain_risk_2026" measure="1" displayFolder="" measureGroup="global_supply_chain_risk_2026" count="0" hidden="1"/>
    <cacheHierarchy uniqueName="[Measures].[__XL_Count PortRef 1]" caption="__XL_Count PortRef 1" measure="1" displayFolder="" measureGroup="PortRef 1" count="0" hidden="1"/>
    <cacheHierarchy uniqueName="[Measures].[__No measures defined]" caption="__No measures defined" measure="1" displayFolder="" count="0" hidden="1"/>
  </cacheHierarchies>
  <kpis count="0"/>
  <dimensions count="3">
    <dimension name="global_supply_chain_risk_2026" uniqueName="[global_supply_chain_risk_2026]" caption="global_supply_chain_risk_2026"/>
    <dimension measure="1" name="Measures" uniqueName="[Measures]" caption="Measures"/>
    <dimension name="PortRef 1" uniqueName="[PortRef 1]" caption="PortRef 1"/>
  </dimensions>
  <measureGroups count="2">
    <measureGroup name="global_supply_chain_risk_2026" caption="global_supply_chain_risk_2026"/>
    <measureGroup name="PortRef 1" caption="PortRef 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463349537036" backgroundQuery="1" createdVersion="7" refreshedVersion="7" minRefreshableVersion="3" recordCount="0" supportSubquery="1" supportAdvancedDrill="1" xr:uid="{AE158B16-00BF-48B2-947A-46A3450E5A35}">
  <cacheSource type="external" connectionId="3"/>
  <cacheFields count="8">
    <cacheField name="[global_supply_chain_risk_2026].[Product_Category].[Product_Category]" caption="Product_Category" numFmtId="0" hierarchy="5" level="1">
      <sharedItems count="5">
        <s v="Automotive"/>
        <s v="Electronics"/>
        <s v="Perishables"/>
        <s v="Pharmaceuticals"/>
        <s v="Textiles"/>
      </sharedItems>
    </cacheField>
    <cacheField name="[global_supply_chain_risk_2026].[Transport_Mode].[Transport_Mode]" caption="Transport_Mode" numFmtId="0" hierarchy="4" level="1">
      <sharedItems count="4">
        <s v="Air"/>
        <s v="Rail"/>
        <s v="Road"/>
        <s v="Sea"/>
      </sharedItems>
    </cacheField>
    <cacheField name="[Measures].[Avg_Distance]" caption="Avg_Distance" numFmtId="0" hierarchy="32" level="32767"/>
    <cacheField name="[Measures].[Avg_Weight]" caption="Avg_Weight" numFmtId="0" hierarchy="33" level="32767"/>
    <cacheField name="[Measures].[Sample_n]" caption="Sample_n" numFmtId="0" hierarchy="30" level="32767"/>
    <cacheField name="[global_supply_chain_risk_2026].[Route_Plausibility].[Route_Plausibility]" caption="Route_Plausibility" numFmtId="0" hierarchy="19" level="1">
      <sharedItems containsSemiMixedTypes="0" containsNonDate="0" containsString="0"/>
    </cacheField>
    <cacheField name="[global_supply_chain_risk_2026].[Date].[Date]" caption="Date" numFmtId="0" hierarchy="1" level="1">
      <sharedItems containsSemiMixedTypes="0" containsNonDate="0" containsString="0"/>
    </cacheField>
    <cacheField name="[global_supply_chain_risk_2026].[Weather_Condition].[Weather_Condition]" caption="Weather_Condition" numFmtId="0" hierarchy="10" level="1">
      <sharedItems containsSemiMixedTypes="0" containsNonDate="0" containsString="0"/>
    </cacheField>
  </cacheFields>
  <cacheHierarchies count="37">
    <cacheHierarchy uniqueName="[global_supply_chain_risk_2026].[Shipment_ID]" caption="Shipment_ID" attribute="1" defaultMemberUniqueName="[global_supply_chain_risk_2026].[Shipment_ID].[All]" allUniqueName="[global_supply_chain_risk_2026].[Shipment_ID].[All]" dimensionUniqueName="[global_supply_chain_risk_2026]" displayFolder="" count="0" memberValueDatatype="130" unbalanced="0"/>
    <cacheHierarchy uniqueName="[global_supply_chain_risk_2026].[Date]" caption="Date" attribute="1" time="1" defaultMemberUniqueName="[global_supply_chain_risk_2026].[Date].[All]" allUniqueName="[global_supply_chain_risk_2026].[Date].[All]" dimensionUniqueName="[global_supply_chain_risk_2026]" displayFolder="" count="2" memberValueDatatype="7" unbalanced="0">
      <fieldsUsage count="2">
        <fieldUsage x="-1"/>
        <fieldUsage x="6"/>
      </fieldsUsage>
    </cacheHierarchy>
    <cacheHierarchy uniqueName="[global_supply_chain_risk_2026].[Origin_Port]" caption="Origin_Port" attribute="1" defaultMemberUniqueName="[global_supply_chain_risk_2026].[Origin_Port].[All]" allUniqueName="[global_supply_chain_risk_2026].[Origin_Port].[All]" dimensionUniqueName="[global_supply_chain_risk_2026]" displayFolder="" count="0" memberValueDatatype="130" unbalanced="0"/>
    <cacheHierarchy uniqueName="[global_supply_chain_risk_2026].[Destination_Port]" caption="Destination_Port" attribute="1" defaultMemberUniqueName="[global_supply_chain_risk_2026].[Destination_Port].[All]" allUniqueName="[global_supply_chain_risk_2026].[Destination_Port].[All]" dimensionUniqueName="[global_supply_chain_risk_2026]" displayFolder="" count="0" memberValueDatatype="130" unbalanced="0"/>
    <cacheHierarchy uniqueName="[global_supply_chain_risk_2026].[Transport_Mode]" caption="Transport_Mode" attribute="1" defaultMemberUniqueName="[global_supply_chain_risk_2026].[Transport_Mode].[All]" allUniqueName="[global_supply_chain_risk_2026].[Transport_Mode].[All]" dimensionUniqueName="[global_supply_chain_risk_2026]" displayFolder="" count="2" memberValueDatatype="130" unbalanced="0">
      <fieldsUsage count="2">
        <fieldUsage x="-1"/>
        <fieldUsage x="1"/>
      </fieldsUsage>
    </cacheHierarchy>
    <cacheHierarchy uniqueName="[global_supply_chain_risk_2026].[Product_Category]" caption="Product_Category" attribute="1" defaultMemberUniqueName="[global_supply_chain_risk_2026].[Product_Category].[All]" allUniqueName="[global_supply_chain_risk_2026].[Product_Category].[All]" dimensionUniqueName="[global_supply_chain_risk_2026]" displayFolder="" count="2" memberValueDatatype="130" unbalanced="0">
      <fieldsUsage count="2">
        <fieldUsage x="-1"/>
        <fieldUsage x="0"/>
      </fieldsUsage>
    </cacheHierarchy>
    <cacheHierarchy uniqueName="[global_supply_chain_risk_2026].[Distance_km]" caption="Distance_km" attribute="1" defaultMemberUniqueName="[global_supply_chain_risk_2026].[Distance_km].[All]" allUniqueName="[global_supply_chain_risk_2026].[Distance_km].[All]" dimensionUniqueName="[global_supply_chain_risk_2026]" displayFolder="" count="0" memberValueDatatype="5" unbalanced="0"/>
    <cacheHierarchy uniqueName="[global_supply_chain_risk_2026].[Weight_MT]" caption="Weight_MT" attribute="1" defaultMemberUniqueName="[global_supply_chain_risk_2026].[Weight_MT].[All]" allUniqueName="[global_supply_chain_risk_2026].[Weight_MT].[All]" dimensionUniqueName="[global_supply_chain_risk_2026]" displayFolder="" count="0" memberValueDatatype="5" unbalanced="0"/>
    <cacheHierarchy uniqueName="[global_supply_chain_risk_2026].[Fuel_Price_Index]" caption="Fuel_Price_Index" attribute="1" defaultMemberUniqueName="[global_supply_chain_risk_2026].[Fuel_Price_Index].[All]" allUniqueName="[global_supply_chain_risk_2026].[Fuel_Price_Index].[All]" dimensionUniqueName="[global_supply_chain_risk_2026]" displayFolder="" count="0" memberValueDatatype="5" unbalanced="0"/>
    <cacheHierarchy uniqueName="[global_supply_chain_risk_2026].[Geopolitical_Risk_Score]" caption="Geopolitical_Risk_Score" attribute="1" defaultMemberUniqueName="[global_supply_chain_risk_2026].[Geopolitical_Risk_Score].[All]" allUniqueName="[global_supply_chain_risk_2026].[Geopolitical_Risk_Score].[All]" dimensionUniqueName="[global_supply_chain_risk_2026]" displayFolder="" count="0" memberValueDatatype="5" unbalanced="0"/>
    <cacheHierarchy uniqueName="[global_supply_chain_risk_2026].[Weather_Condition]" caption="Weather_Condition" attribute="1" defaultMemberUniqueName="[global_supply_chain_risk_2026].[Weather_Condition].[All]" allUniqueName="[global_supply_chain_risk_2026].[Weather_Condition].[All]" dimensionUniqueName="[global_supply_chain_risk_2026]" displayFolder="" count="2" memberValueDatatype="130" unbalanced="0">
      <fieldsUsage count="2">
        <fieldUsage x="-1"/>
        <fieldUsage x="7"/>
      </fieldsUsage>
    </cacheHierarchy>
    <cacheHierarchy uniqueName="[global_supply_chain_risk_2026].[Carrier_Reliability_Score]" caption="Carrier_Reliability_Score" attribute="1" defaultMemberUniqueName="[global_supply_chain_risk_2026].[Carrier_Reliability_Score].[All]" allUniqueName="[global_supply_chain_risk_2026].[Carrier_Reliability_Score].[All]" dimensionUniqueName="[global_supply_chain_risk_2026]" displayFolder="" count="0" memberValueDatatype="5" unbalanced="0"/>
    <cacheHierarchy uniqueName="[global_supply_chain_risk_2026].[Lead_Time_Days]" caption="Lead_Time_Days" attribute="1" defaultMemberUniqueName="[global_supply_chain_risk_2026].[Lead_Time_Days].[All]" allUniqueName="[global_supply_chain_risk_2026].[Lead_Time_Days].[All]" dimensionUniqueName="[global_supply_chain_risk_2026]" displayFolder="" count="0" memberValueDatatype="5" unbalanced="0"/>
    <cacheHierarchy uniqueName="[global_supply_chain_risk_2026].[Disruption_Occurred]" caption="Disruption_Occurred" attribute="1" defaultMemberUniqueName="[global_supply_chain_risk_2026].[Disruption_Occurred].[All]" allUniqueName="[global_supply_chain_risk_2026].[Disruption_Occurred].[All]" dimensionUniqueName="[global_supply_chain_risk_2026]" displayFolder="" count="0" memberValueDatatype="5" unbalanced="0"/>
    <cacheHierarchy uniqueName="[global_supply_chain_risk_2026].[Fuel_Price_Bracket]" caption="Fuel_Price_Bracket" attribute="1" defaultMemberUniqueName="[global_supply_chain_risk_2026].[Fuel_Price_Bracket].[All]" allUniqueName="[global_supply_chain_risk_2026].[Fuel_Price_Bracket].[All]" dimensionUniqueName="[global_supply_chain_risk_2026]" displayFolder="" count="0" memberValueDatatype="130" unbalanced="0"/>
    <cacheHierarchy uniqueName="[global_supply_chain_risk_2026].[Mode_Route_Flag]" caption="Mode_Route_Flag" attribute="1" defaultMemberUniqueName="[global_supply_chain_risk_2026].[Mode_Route_Flag].[All]" allUniqueName="[global_supply_chain_risk_2026].[Mode_Route_Flag].[All]" dimensionUniqueName="[global_supply_chain_risk_2026]" displayFolder="" count="0" memberValueDatatype="130" unbalanced="0"/>
    <cacheHierarchy uniqueName="[global_supply_chain_risk_2026].[Origin_Continent]" caption="Origin_Continent" attribute="1" defaultMemberUniqueName="[global_supply_chain_risk_2026].[Origin_Continent].[All]" allUniqueName="[global_supply_chain_risk_2026].[Origin_Continent].[All]" dimensionUniqueName="[global_supply_chain_risk_2026]" displayFolder="" count="0" memberValueDatatype="130" unbalanced="0"/>
    <cacheHierarchy uniqueName="[global_supply_chain_risk_2026].[Destination_Continent]" caption="Destination_Continent" attribute="1" defaultMemberUniqueName="[global_supply_chain_risk_2026].[Destination_Continent].[All]" allUniqueName="[global_supply_chain_risk_2026].[Destination_Continent].[All]" dimensionUniqueName="[global_supply_chain_risk_2026]" displayFolder="" count="0" memberValueDatatype="130" unbalanced="0"/>
    <cacheHierarchy uniqueName="[global_supply_chain_risk_2026].[Cross_Continent]" caption="Cross_Continent" attribute="1" defaultMemberUniqueName="[global_supply_chain_risk_2026].[Cross_Continent].[All]" allUniqueName="[global_supply_chain_risk_2026].[Cross_Continent].[All]" dimensionUniqueName="[global_supply_chain_risk_2026]" displayFolder="" count="0" memberValueDatatype="130" unbalanced="0"/>
    <cacheHierarchy uniqueName="[global_supply_chain_risk_2026].[Route_Plausibility]" caption="Route_Plausibility" attribute="1" defaultMemberUniqueName="[global_supply_chain_risk_2026].[Route_Plausibility].[All]" allUniqueName="[global_supply_chain_risk_2026].[Route_Plausibility].[All]" dimensionUniqueName="[global_supply_chain_risk_2026]" displayFolder="" count="2" memberValueDatatype="130" unbalanced="0">
      <fieldsUsage count="2">
        <fieldUsage x="-1"/>
        <fieldUsage x="5"/>
      </fieldsUsage>
    </cacheHierarchy>
    <cacheHierarchy uniqueName="[global_supply_chain_risk_2026].[Fuel_Bracket_Label]" caption="Fuel_Bracket_Label" attribute="1" defaultMemberUniqueName="[global_supply_chain_risk_2026].[Fuel_Bracket_Label].[All]" allUniqueName="[global_supply_chain_risk_2026].[Fuel_Bracket_Label].[All]" dimensionUniqueName="[global_supply_chain_risk_2026]" displayFolder="" count="0" memberValueDatatype="130" unbalanced="0"/>
    <cacheHierarchy uniqueName="[PortRef 1].[Port]" caption="Port" attribute="1" defaultMemberUniqueName="[PortRef 1].[Port].[All]" allUniqueName="[PortRef 1].[Port].[All]" dimensionUniqueName="[PortRef 1]" displayFolder="" count="0" memberValueDatatype="130" unbalanced="0"/>
    <cacheHierarchy uniqueName="[PortRef 1].[Continent]" caption="Continent" attribute="1" defaultMemberUniqueName="[PortRef 1].[Continent].[All]" allUniqueName="[PortRef 1].[Continent].[All]" dimensionUniqueName="[PortRef 1]" displayFolder="" count="0" memberValueDatatype="130" unbalanced="0"/>
    <cacheHierarchy uniqueName="[Measures].[Sum of Distance_km]" caption="Sum of Distance_km" measure="1" displayFolder="" measureGroup="global_supply_chain_risk_2026" count="0">
      <extLst>
        <ext xmlns:x15="http://schemas.microsoft.com/office/spreadsheetml/2010/11/main" uri="{B97F6D7D-B522-45F9-BDA1-12C45D357490}">
          <x15:cacheHierarchy aggregatedColumn="6"/>
        </ext>
      </extLst>
    </cacheHierarchy>
    <cacheHierarchy uniqueName="[Measures].[Sum of Geopolitical_Risk_Score]" caption="Sum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erage of Geopolitical_Risk_Score]" caption="Average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g_Lead_Time]" caption="Avg_Lead_Time" measure="1" displayFolder="" measureGroup="global_supply_chain_risk_2026" count="0"/>
    <cacheHierarchy uniqueName="[Measures].[Avg_Reliability]" caption="Avg_Reliability" measure="1" displayFolder="" measureGroup="global_supply_chain_risk_2026" count="0"/>
    <cacheHierarchy uniqueName="[Measures].[Total_Weight_MT]" caption="Total_Weight_MT" measure="1" displayFolder="" measureGroup="global_supply_chain_risk_2026" count="0"/>
    <cacheHierarchy uniqueName="[Measures].[Disruption_Rate_PCT]" caption="Disruption_Rate_PCT" measure="1" displayFolder="" measureGroup="global_supply_chain_risk_2026" count="0"/>
    <cacheHierarchy uniqueName="[Measures].[Sample_n]" caption="Sample_n" measure="1" displayFolder="" measureGroup="global_supply_chain_risk_2026" count="0" oneField="1">
      <fieldsUsage count="1">
        <fieldUsage x="4"/>
      </fieldsUsage>
    </cacheHierarchy>
    <cacheHierarchy uniqueName="[Measures].[Flagged_Count]" caption="Flagged_Count" measure="1" displayFolder="" measureGroup="global_supply_chain_risk_2026" count="0"/>
    <cacheHierarchy uniqueName="[Measures].[Avg_Distance]" caption="Avg_Distance" measure="1" displayFolder="" measureGroup="global_supply_chain_risk_2026" count="0" oneField="1">
      <fieldsUsage count="1">
        <fieldUsage x="2"/>
      </fieldsUsage>
    </cacheHierarchy>
    <cacheHierarchy uniqueName="[Measures].[Avg_Weight]" caption="Avg_Weight" measure="1" displayFolder="" measureGroup="global_supply_chain_risk_2026" count="0" oneField="1">
      <fieldsUsage count="1">
        <fieldUsage x="3"/>
      </fieldsUsage>
    </cacheHierarchy>
    <cacheHierarchy uniqueName="[Measures].[__XL_Count global_supply_chain_risk_2026]" caption="__XL_Count global_supply_chain_risk_2026" measure="1" displayFolder="" measureGroup="global_supply_chain_risk_2026" count="0" hidden="1"/>
    <cacheHierarchy uniqueName="[Measures].[__XL_Count PortRef 1]" caption="__XL_Count PortRef 1" measure="1" displayFolder="" measureGroup="PortRef 1" count="0" hidden="1"/>
    <cacheHierarchy uniqueName="[Measures].[__No measures defined]" caption="__No measures defined" measure="1" displayFolder="" count="0" hidden="1"/>
  </cacheHierarchies>
  <kpis count="0"/>
  <dimensions count="3">
    <dimension name="global_supply_chain_risk_2026" uniqueName="[global_supply_chain_risk_2026]" caption="global_supply_chain_risk_2026"/>
    <dimension measure="1" name="Measures" uniqueName="[Measures]" caption="Measures"/>
    <dimension name="PortRef 1" uniqueName="[PortRef 1]" caption="PortRef 1"/>
  </dimensions>
  <measureGroups count="2">
    <measureGroup name="global_supply_chain_risk_2026" caption="global_supply_chain_risk_2026"/>
    <measureGroup name="PortRef 1" caption="PortRef 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463350925929" backgroundQuery="1" createdVersion="7" refreshedVersion="7" minRefreshableVersion="3" recordCount="0" supportSubquery="1" supportAdvancedDrill="1" xr:uid="{8274B095-788B-43DF-97B1-0101CFF8A6B6}">
  <cacheSource type="external" connectionId="3"/>
  <cacheFields count="6">
    <cacheField name="[global_supply_chain_risk_2026].[Route_Plausibility].[Route_Plausibility]" caption="Route_Plausibility" numFmtId="0" hierarchy="19" level="1">
      <sharedItems count="1">
        <s v="OK"/>
      </sharedItems>
    </cacheField>
    <cacheField name="[Measures].[Sample_n]" caption="Sample_n" numFmtId="0" hierarchy="30" level="32767"/>
    <cacheField name="[global_supply_chain_risk_2026].[Date].[Date]" caption="Date" numFmtId="0" hierarchy="1" level="1">
      <sharedItems containsSemiMixedTypes="0" containsNonDate="0" containsString="0"/>
    </cacheField>
    <cacheField name="[global_supply_chain_risk_2026].[Product_Category].[Product_Category]" caption="Product_Category" numFmtId="0" hierarchy="5" level="1">
      <sharedItems containsSemiMixedTypes="0" containsNonDate="0" containsString="0"/>
    </cacheField>
    <cacheField name="[global_supply_chain_risk_2026].[Transport_Mode].[Transport_Mode]" caption="Transport_Mode" numFmtId="0" hierarchy="4" level="1">
      <sharedItems containsSemiMixedTypes="0" containsNonDate="0" containsString="0"/>
    </cacheField>
    <cacheField name="[global_supply_chain_risk_2026].[Weather_Condition].[Weather_Condition]" caption="Weather_Condition" numFmtId="0" hierarchy="10" level="1">
      <sharedItems containsSemiMixedTypes="0" containsNonDate="0" containsString="0"/>
    </cacheField>
  </cacheFields>
  <cacheHierarchies count="37">
    <cacheHierarchy uniqueName="[global_supply_chain_risk_2026].[Shipment_ID]" caption="Shipment_ID" attribute="1" defaultMemberUniqueName="[global_supply_chain_risk_2026].[Shipment_ID].[All]" allUniqueName="[global_supply_chain_risk_2026].[Shipment_ID].[All]" dimensionUniqueName="[global_supply_chain_risk_2026]" displayFolder="" count="0" memberValueDatatype="130" unbalanced="0"/>
    <cacheHierarchy uniqueName="[global_supply_chain_risk_2026].[Date]" caption="Date" attribute="1" time="1" defaultMemberUniqueName="[global_supply_chain_risk_2026].[Date].[All]" allUniqueName="[global_supply_chain_risk_2026].[Date].[All]" dimensionUniqueName="[global_supply_chain_risk_2026]" displayFolder="" count="2" memberValueDatatype="7" unbalanced="0">
      <fieldsUsage count="2">
        <fieldUsage x="-1"/>
        <fieldUsage x="2"/>
      </fieldsUsage>
    </cacheHierarchy>
    <cacheHierarchy uniqueName="[global_supply_chain_risk_2026].[Origin_Port]" caption="Origin_Port" attribute="1" defaultMemberUniqueName="[global_supply_chain_risk_2026].[Origin_Port].[All]" allUniqueName="[global_supply_chain_risk_2026].[Origin_Port].[All]" dimensionUniqueName="[global_supply_chain_risk_2026]" displayFolder="" count="0" memberValueDatatype="130" unbalanced="0"/>
    <cacheHierarchy uniqueName="[global_supply_chain_risk_2026].[Destination_Port]" caption="Destination_Port" attribute="1" defaultMemberUniqueName="[global_supply_chain_risk_2026].[Destination_Port].[All]" allUniqueName="[global_supply_chain_risk_2026].[Destination_Port].[All]" dimensionUniqueName="[global_supply_chain_risk_2026]" displayFolder="" count="0" memberValueDatatype="130" unbalanced="0"/>
    <cacheHierarchy uniqueName="[global_supply_chain_risk_2026].[Transport_Mode]" caption="Transport_Mode" attribute="1" defaultMemberUniqueName="[global_supply_chain_risk_2026].[Transport_Mode].[All]" allUniqueName="[global_supply_chain_risk_2026].[Transport_Mode].[All]" dimensionUniqueName="[global_supply_chain_risk_2026]" displayFolder="" count="2" memberValueDatatype="130" unbalanced="0">
      <fieldsUsage count="2">
        <fieldUsage x="-1"/>
        <fieldUsage x="4"/>
      </fieldsUsage>
    </cacheHierarchy>
    <cacheHierarchy uniqueName="[global_supply_chain_risk_2026].[Product_Category]" caption="Product_Category" attribute="1" defaultMemberUniqueName="[global_supply_chain_risk_2026].[Product_Category].[All]" allUniqueName="[global_supply_chain_risk_2026].[Product_Category].[All]" dimensionUniqueName="[global_supply_chain_risk_2026]" displayFolder="" count="2" memberValueDatatype="130" unbalanced="0">
      <fieldsUsage count="2">
        <fieldUsage x="-1"/>
        <fieldUsage x="3"/>
      </fieldsUsage>
    </cacheHierarchy>
    <cacheHierarchy uniqueName="[global_supply_chain_risk_2026].[Distance_km]" caption="Distance_km" attribute="1" defaultMemberUniqueName="[global_supply_chain_risk_2026].[Distance_km].[All]" allUniqueName="[global_supply_chain_risk_2026].[Distance_km].[All]" dimensionUniqueName="[global_supply_chain_risk_2026]" displayFolder="" count="0" memberValueDatatype="5" unbalanced="0"/>
    <cacheHierarchy uniqueName="[global_supply_chain_risk_2026].[Weight_MT]" caption="Weight_MT" attribute="1" defaultMemberUniqueName="[global_supply_chain_risk_2026].[Weight_MT].[All]" allUniqueName="[global_supply_chain_risk_2026].[Weight_MT].[All]" dimensionUniqueName="[global_supply_chain_risk_2026]" displayFolder="" count="0" memberValueDatatype="5" unbalanced="0"/>
    <cacheHierarchy uniqueName="[global_supply_chain_risk_2026].[Fuel_Price_Index]" caption="Fuel_Price_Index" attribute="1" defaultMemberUniqueName="[global_supply_chain_risk_2026].[Fuel_Price_Index].[All]" allUniqueName="[global_supply_chain_risk_2026].[Fuel_Price_Index].[All]" dimensionUniqueName="[global_supply_chain_risk_2026]" displayFolder="" count="0" memberValueDatatype="5" unbalanced="0"/>
    <cacheHierarchy uniqueName="[global_supply_chain_risk_2026].[Geopolitical_Risk_Score]" caption="Geopolitical_Risk_Score" attribute="1" defaultMemberUniqueName="[global_supply_chain_risk_2026].[Geopolitical_Risk_Score].[All]" allUniqueName="[global_supply_chain_risk_2026].[Geopolitical_Risk_Score].[All]" dimensionUniqueName="[global_supply_chain_risk_2026]" displayFolder="" count="0" memberValueDatatype="5" unbalanced="0"/>
    <cacheHierarchy uniqueName="[global_supply_chain_risk_2026].[Weather_Condition]" caption="Weather_Condition" attribute="1" defaultMemberUniqueName="[global_supply_chain_risk_2026].[Weather_Condition].[All]" allUniqueName="[global_supply_chain_risk_2026].[Weather_Condition].[All]" dimensionUniqueName="[global_supply_chain_risk_2026]" displayFolder="" count="2" memberValueDatatype="130" unbalanced="0">
      <fieldsUsage count="2">
        <fieldUsage x="-1"/>
        <fieldUsage x="5"/>
      </fieldsUsage>
    </cacheHierarchy>
    <cacheHierarchy uniqueName="[global_supply_chain_risk_2026].[Carrier_Reliability_Score]" caption="Carrier_Reliability_Score" attribute="1" defaultMemberUniqueName="[global_supply_chain_risk_2026].[Carrier_Reliability_Score].[All]" allUniqueName="[global_supply_chain_risk_2026].[Carrier_Reliability_Score].[All]" dimensionUniqueName="[global_supply_chain_risk_2026]" displayFolder="" count="0" memberValueDatatype="5" unbalanced="0"/>
    <cacheHierarchy uniqueName="[global_supply_chain_risk_2026].[Lead_Time_Days]" caption="Lead_Time_Days" attribute="1" defaultMemberUniqueName="[global_supply_chain_risk_2026].[Lead_Time_Days].[All]" allUniqueName="[global_supply_chain_risk_2026].[Lead_Time_Days].[All]" dimensionUniqueName="[global_supply_chain_risk_2026]" displayFolder="" count="0" memberValueDatatype="5" unbalanced="0"/>
    <cacheHierarchy uniqueName="[global_supply_chain_risk_2026].[Disruption_Occurred]" caption="Disruption_Occurred" attribute="1" defaultMemberUniqueName="[global_supply_chain_risk_2026].[Disruption_Occurred].[All]" allUniqueName="[global_supply_chain_risk_2026].[Disruption_Occurred].[All]" dimensionUniqueName="[global_supply_chain_risk_2026]" displayFolder="" count="0" memberValueDatatype="5" unbalanced="0"/>
    <cacheHierarchy uniqueName="[global_supply_chain_risk_2026].[Fuel_Price_Bracket]" caption="Fuel_Price_Bracket" attribute="1" defaultMemberUniqueName="[global_supply_chain_risk_2026].[Fuel_Price_Bracket].[All]" allUniqueName="[global_supply_chain_risk_2026].[Fuel_Price_Bracket].[All]" dimensionUniqueName="[global_supply_chain_risk_2026]" displayFolder="" count="0" memberValueDatatype="130" unbalanced="0"/>
    <cacheHierarchy uniqueName="[global_supply_chain_risk_2026].[Mode_Route_Flag]" caption="Mode_Route_Flag" attribute="1" defaultMemberUniqueName="[global_supply_chain_risk_2026].[Mode_Route_Flag].[All]" allUniqueName="[global_supply_chain_risk_2026].[Mode_Route_Flag].[All]" dimensionUniqueName="[global_supply_chain_risk_2026]" displayFolder="" count="0" memberValueDatatype="130" unbalanced="0"/>
    <cacheHierarchy uniqueName="[global_supply_chain_risk_2026].[Origin_Continent]" caption="Origin_Continent" attribute="1" defaultMemberUniqueName="[global_supply_chain_risk_2026].[Origin_Continent].[All]" allUniqueName="[global_supply_chain_risk_2026].[Origin_Continent].[All]" dimensionUniqueName="[global_supply_chain_risk_2026]" displayFolder="" count="0" memberValueDatatype="130" unbalanced="0"/>
    <cacheHierarchy uniqueName="[global_supply_chain_risk_2026].[Destination_Continent]" caption="Destination_Continent" attribute="1" defaultMemberUniqueName="[global_supply_chain_risk_2026].[Destination_Continent].[All]" allUniqueName="[global_supply_chain_risk_2026].[Destination_Continent].[All]" dimensionUniqueName="[global_supply_chain_risk_2026]" displayFolder="" count="0" memberValueDatatype="130" unbalanced="0"/>
    <cacheHierarchy uniqueName="[global_supply_chain_risk_2026].[Cross_Continent]" caption="Cross_Continent" attribute="1" defaultMemberUniqueName="[global_supply_chain_risk_2026].[Cross_Continent].[All]" allUniqueName="[global_supply_chain_risk_2026].[Cross_Continent].[All]" dimensionUniqueName="[global_supply_chain_risk_2026]" displayFolder="" count="0" memberValueDatatype="130" unbalanced="0"/>
    <cacheHierarchy uniqueName="[global_supply_chain_risk_2026].[Route_Plausibility]" caption="Route_Plausibility" attribute="1" defaultMemberUniqueName="[global_supply_chain_risk_2026].[Route_Plausibility].[All]" allUniqueName="[global_supply_chain_risk_2026].[Route_Plausibility].[All]" dimensionUniqueName="[global_supply_chain_risk_2026]" displayFolder="" count="2" memberValueDatatype="130" unbalanced="0">
      <fieldsUsage count="2">
        <fieldUsage x="-1"/>
        <fieldUsage x="0"/>
      </fieldsUsage>
    </cacheHierarchy>
    <cacheHierarchy uniqueName="[global_supply_chain_risk_2026].[Fuel_Bracket_Label]" caption="Fuel_Bracket_Label" attribute="1" defaultMemberUniqueName="[global_supply_chain_risk_2026].[Fuel_Bracket_Label].[All]" allUniqueName="[global_supply_chain_risk_2026].[Fuel_Bracket_Label].[All]" dimensionUniqueName="[global_supply_chain_risk_2026]" displayFolder="" count="0" memberValueDatatype="130" unbalanced="0"/>
    <cacheHierarchy uniqueName="[PortRef 1].[Port]" caption="Port" attribute="1" defaultMemberUniqueName="[PortRef 1].[Port].[All]" allUniqueName="[PortRef 1].[Port].[All]" dimensionUniqueName="[PortRef 1]" displayFolder="" count="0" memberValueDatatype="130" unbalanced="0"/>
    <cacheHierarchy uniqueName="[PortRef 1].[Continent]" caption="Continent" attribute="1" defaultMemberUniqueName="[PortRef 1].[Continent].[All]" allUniqueName="[PortRef 1].[Continent].[All]" dimensionUniqueName="[PortRef 1]" displayFolder="" count="0" memberValueDatatype="130" unbalanced="0"/>
    <cacheHierarchy uniqueName="[Measures].[Sum of Distance_km]" caption="Sum of Distance_km" measure="1" displayFolder="" measureGroup="global_supply_chain_risk_2026" count="0">
      <extLst>
        <ext xmlns:x15="http://schemas.microsoft.com/office/spreadsheetml/2010/11/main" uri="{B97F6D7D-B522-45F9-BDA1-12C45D357490}">
          <x15:cacheHierarchy aggregatedColumn="6"/>
        </ext>
      </extLst>
    </cacheHierarchy>
    <cacheHierarchy uniqueName="[Measures].[Sum of Geopolitical_Risk_Score]" caption="Sum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erage of Geopolitical_Risk_Score]" caption="Average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g_Lead_Time]" caption="Avg_Lead_Time" measure="1" displayFolder="" measureGroup="global_supply_chain_risk_2026" count="0"/>
    <cacheHierarchy uniqueName="[Measures].[Avg_Reliability]" caption="Avg_Reliability" measure="1" displayFolder="" measureGroup="global_supply_chain_risk_2026" count="0"/>
    <cacheHierarchy uniqueName="[Measures].[Total_Weight_MT]" caption="Total_Weight_MT" measure="1" displayFolder="" measureGroup="global_supply_chain_risk_2026" count="0"/>
    <cacheHierarchy uniqueName="[Measures].[Disruption_Rate_PCT]" caption="Disruption_Rate_PCT" measure="1" displayFolder="" measureGroup="global_supply_chain_risk_2026" count="0"/>
    <cacheHierarchy uniqueName="[Measures].[Sample_n]" caption="Sample_n" measure="1" displayFolder="" measureGroup="global_supply_chain_risk_2026" count="0" oneField="1">
      <fieldsUsage count="1">
        <fieldUsage x="1"/>
      </fieldsUsage>
    </cacheHierarchy>
    <cacheHierarchy uniqueName="[Measures].[Flagged_Count]" caption="Flagged_Count" measure="1" displayFolder="" measureGroup="global_supply_chain_risk_2026" count="0"/>
    <cacheHierarchy uniqueName="[Measures].[Avg_Distance]" caption="Avg_Distance" measure="1" displayFolder="" measureGroup="global_supply_chain_risk_2026" count="0"/>
    <cacheHierarchy uniqueName="[Measures].[Avg_Weight]" caption="Avg_Weight" measure="1" displayFolder="" measureGroup="global_supply_chain_risk_2026" count="0"/>
    <cacheHierarchy uniqueName="[Measures].[__XL_Count global_supply_chain_risk_2026]" caption="__XL_Count global_supply_chain_risk_2026" measure="1" displayFolder="" measureGroup="global_supply_chain_risk_2026" count="0" hidden="1"/>
    <cacheHierarchy uniqueName="[Measures].[__XL_Count PortRef 1]" caption="__XL_Count PortRef 1" measure="1" displayFolder="" measureGroup="PortRef 1" count="0" hidden="1"/>
    <cacheHierarchy uniqueName="[Measures].[__No measures defined]" caption="__No measures defined" measure="1" displayFolder="" count="0" hidden="1"/>
  </cacheHierarchies>
  <kpis count="0"/>
  <dimensions count="3">
    <dimension name="global_supply_chain_risk_2026" uniqueName="[global_supply_chain_risk_2026]" caption="global_supply_chain_risk_2026"/>
    <dimension measure="1" name="Measures" uniqueName="[Measures]" caption="Measures"/>
    <dimension name="PortRef 1" uniqueName="[PortRef 1]" caption="PortRef 1"/>
  </dimensions>
  <measureGroups count="2">
    <measureGroup name="global_supply_chain_risk_2026" caption="global_supply_chain_risk_2026"/>
    <measureGroup name="PortRef 1" caption="PortRef 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463354398147" backgroundQuery="1" createdVersion="7" refreshedVersion="7" minRefreshableVersion="3" recordCount="0" supportSubquery="1" supportAdvancedDrill="1" xr:uid="{A5676F4D-BDE4-444A-9E99-BAA1F73C1FBA}">
  <cacheSource type="external" connectionId="3"/>
  <cacheFields count="9">
    <cacheField name="[global_supply_chain_risk_2026].[Transport_Mode].[Transport_Mode]" caption="Transport_Mode" numFmtId="0" hierarchy="4" level="1">
      <sharedItems count="4">
        <s v="Air"/>
        <s v="Rail"/>
        <s v="Road"/>
        <s v="Sea"/>
      </sharedItems>
    </cacheField>
    <cacheField name="[global_supply_chain_risk_2026].[Weather_Condition].[Weather_Condition]" caption="Weather_Condition" numFmtId="0" hierarchy="10" level="1">
      <sharedItems count="5">
        <s v="Clear"/>
        <s v="Fog"/>
        <s v="Hurricane"/>
        <s v="Rain"/>
        <s v="Storm"/>
      </sharedItems>
    </cacheField>
    <cacheField name="[Measures].[Disruption_Rate_PCT]" caption="Disruption_Rate_PCT" numFmtId="0" hierarchy="29" level="32767"/>
    <cacheField name="[global_supply_chain_risk_2026].[Route_Plausibility].[Route_Plausibility]" caption="Route_Plausibility" numFmtId="0" hierarchy="19" level="1">
      <sharedItems containsSemiMixedTypes="0" containsNonDate="0" containsString="0"/>
    </cacheField>
    <cacheField name="[global_supply_chain_risk_2026].[Cross_Continent].[Cross_Continent]" caption="Cross_Continent" numFmtId="0" hierarchy="18" level="1">
      <sharedItems containsSemiMixedTypes="0" containsNonDate="0" containsString="0"/>
    </cacheField>
    <cacheField name="[global_supply_chain_risk_2026].[Destination_Continent].[Destination_Continent]" caption="Destination_Continent" numFmtId="0" hierarchy="17" level="1">
      <sharedItems containsSemiMixedTypes="0" containsNonDate="0" containsString="0"/>
    </cacheField>
    <cacheField name="[global_supply_chain_risk_2026].[Origin_Continent].[Origin_Continent]" caption="Origin_Continent" numFmtId="0" hierarchy="16" level="1">
      <sharedItems containsSemiMixedTypes="0" containsNonDate="0" containsString="0"/>
    </cacheField>
    <cacheField name="[global_supply_chain_risk_2026].[Date].[Date]" caption="Date" numFmtId="0" hierarchy="1" level="1">
      <sharedItems containsSemiMixedTypes="0" containsNonDate="0" containsString="0"/>
    </cacheField>
    <cacheField name="[global_supply_chain_risk_2026].[Product_Category].[Product_Category]" caption="Product_Category" numFmtId="0" hierarchy="5" level="1">
      <sharedItems containsSemiMixedTypes="0" containsNonDate="0" containsString="0"/>
    </cacheField>
  </cacheFields>
  <cacheHierarchies count="37">
    <cacheHierarchy uniqueName="[global_supply_chain_risk_2026].[Shipment_ID]" caption="Shipment_ID" attribute="1" defaultMemberUniqueName="[global_supply_chain_risk_2026].[Shipment_ID].[All]" allUniqueName="[global_supply_chain_risk_2026].[Shipment_ID].[All]" dimensionUniqueName="[global_supply_chain_risk_2026]" displayFolder="" count="0" memberValueDatatype="130" unbalanced="0"/>
    <cacheHierarchy uniqueName="[global_supply_chain_risk_2026].[Date]" caption="Date" attribute="1" time="1" defaultMemberUniqueName="[global_supply_chain_risk_2026].[Date].[All]" allUniqueName="[global_supply_chain_risk_2026].[Date].[All]" dimensionUniqueName="[global_supply_chain_risk_2026]" displayFolder="" count="2" memberValueDatatype="7" unbalanced="0">
      <fieldsUsage count="2">
        <fieldUsage x="-1"/>
        <fieldUsage x="7"/>
      </fieldsUsage>
    </cacheHierarchy>
    <cacheHierarchy uniqueName="[global_supply_chain_risk_2026].[Origin_Port]" caption="Origin_Port" attribute="1" defaultMemberUniqueName="[global_supply_chain_risk_2026].[Origin_Port].[All]" allUniqueName="[global_supply_chain_risk_2026].[Origin_Port].[All]" dimensionUniqueName="[global_supply_chain_risk_2026]" displayFolder="" count="0" memberValueDatatype="130" unbalanced="0"/>
    <cacheHierarchy uniqueName="[global_supply_chain_risk_2026].[Destination_Port]" caption="Destination_Port" attribute="1" defaultMemberUniqueName="[global_supply_chain_risk_2026].[Destination_Port].[All]" allUniqueName="[global_supply_chain_risk_2026].[Destination_Port].[All]" dimensionUniqueName="[global_supply_chain_risk_2026]" displayFolder="" count="0" memberValueDatatype="130" unbalanced="0"/>
    <cacheHierarchy uniqueName="[global_supply_chain_risk_2026].[Transport_Mode]" caption="Transport_Mode" attribute="1" defaultMemberUniqueName="[global_supply_chain_risk_2026].[Transport_Mode].[All]" allUniqueName="[global_supply_chain_risk_2026].[Transport_Mode].[All]" dimensionUniqueName="[global_supply_chain_risk_2026]" displayFolder="" count="2" memberValueDatatype="130" unbalanced="0">
      <fieldsUsage count="2">
        <fieldUsage x="-1"/>
        <fieldUsage x="0"/>
      </fieldsUsage>
    </cacheHierarchy>
    <cacheHierarchy uniqueName="[global_supply_chain_risk_2026].[Product_Category]" caption="Product_Category" attribute="1" defaultMemberUniqueName="[global_supply_chain_risk_2026].[Product_Category].[All]" allUniqueName="[global_supply_chain_risk_2026].[Product_Category].[All]" dimensionUniqueName="[global_supply_chain_risk_2026]" displayFolder="" count="2" memberValueDatatype="130" unbalanced="0">
      <fieldsUsage count="2">
        <fieldUsage x="-1"/>
        <fieldUsage x="8"/>
      </fieldsUsage>
    </cacheHierarchy>
    <cacheHierarchy uniqueName="[global_supply_chain_risk_2026].[Distance_km]" caption="Distance_km" attribute="1" defaultMemberUniqueName="[global_supply_chain_risk_2026].[Distance_km].[All]" allUniqueName="[global_supply_chain_risk_2026].[Distance_km].[All]" dimensionUniqueName="[global_supply_chain_risk_2026]" displayFolder="" count="0" memberValueDatatype="5" unbalanced="0"/>
    <cacheHierarchy uniqueName="[global_supply_chain_risk_2026].[Weight_MT]" caption="Weight_MT" attribute="1" defaultMemberUniqueName="[global_supply_chain_risk_2026].[Weight_MT].[All]" allUniqueName="[global_supply_chain_risk_2026].[Weight_MT].[All]" dimensionUniqueName="[global_supply_chain_risk_2026]" displayFolder="" count="0" memberValueDatatype="5" unbalanced="0"/>
    <cacheHierarchy uniqueName="[global_supply_chain_risk_2026].[Fuel_Price_Index]" caption="Fuel_Price_Index" attribute="1" defaultMemberUniqueName="[global_supply_chain_risk_2026].[Fuel_Price_Index].[All]" allUniqueName="[global_supply_chain_risk_2026].[Fuel_Price_Index].[All]" dimensionUniqueName="[global_supply_chain_risk_2026]" displayFolder="" count="0" memberValueDatatype="5" unbalanced="0"/>
    <cacheHierarchy uniqueName="[global_supply_chain_risk_2026].[Geopolitical_Risk_Score]" caption="Geopolitical_Risk_Score" attribute="1" defaultMemberUniqueName="[global_supply_chain_risk_2026].[Geopolitical_Risk_Score].[All]" allUniqueName="[global_supply_chain_risk_2026].[Geopolitical_Risk_Score].[All]" dimensionUniqueName="[global_supply_chain_risk_2026]" displayFolder="" count="0" memberValueDatatype="5" unbalanced="0"/>
    <cacheHierarchy uniqueName="[global_supply_chain_risk_2026].[Weather_Condition]" caption="Weather_Condition" attribute="1" defaultMemberUniqueName="[global_supply_chain_risk_2026].[Weather_Condition].[All]" allUniqueName="[global_supply_chain_risk_2026].[Weather_Condition].[All]" dimensionUniqueName="[global_supply_chain_risk_2026]" displayFolder="" count="2" memberValueDatatype="130" unbalanced="0">
      <fieldsUsage count="2">
        <fieldUsage x="-1"/>
        <fieldUsage x="1"/>
      </fieldsUsage>
    </cacheHierarchy>
    <cacheHierarchy uniqueName="[global_supply_chain_risk_2026].[Carrier_Reliability_Score]" caption="Carrier_Reliability_Score" attribute="1" defaultMemberUniqueName="[global_supply_chain_risk_2026].[Carrier_Reliability_Score].[All]" allUniqueName="[global_supply_chain_risk_2026].[Carrier_Reliability_Score].[All]" dimensionUniqueName="[global_supply_chain_risk_2026]" displayFolder="" count="0" memberValueDatatype="5" unbalanced="0"/>
    <cacheHierarchy uniqueName="[global_supply_chain_risk_2026].[Lead_Time_Days]" caption="Lead_Time_Days" attribute="1" defaultMemberUniqueName="[global_supply_chain_risk_2026].[Lead_Time_Days].[All]" allUniqueName="[global_supply_chain_risk_2026].[Lead_Time_Days].[All]" dimensionUniqueName="[global_supply_chain_risk_2026]" displayFolder="" count="0" memberValueDatatype="5" unbalanced="0"/>
    <cacheHierarchy uniqueName="[global_supply_chain_risk_2026].[Disruption_Occurred]" caption="Disruption_Occurred" attribute="1" defaultMemberUniqueName="[global_supply_chain_risk_2026].[Disruption_Occurred].[All]" allUniqueName="[global_supply_chain_risk_2026].[Disruption_Occurred].[All]" dimensionUniqueName="[global_supply_chain_risk_2026]" displayFolder="" count="0" memberValueDatatype="5" unbalanced="0"/>
    <cacheHierarchy uniqueName="[global_supply_chain_risk_2026].[Fuel_Price_Bracket]" caption="Fuel_Price_Bracket" attribute="1" defaultMemberUniqueName="[global_supply_chain_risk_2026].[Fuel_Price_Bracket].[All]" allUniqueName="[global_supply_chain_risk_2026].[Fuel_Price_Bracket].[All]" dimensionUniqueName="[global_supply_chain_risk_2026]" displayFolder="" count="0" memberValueDatatype="130" unbalanced="0"/>
    <cacheHierarchy uniqueName="[global_supply_chain_risk_2026].[Mode_Route_Flag]" caption="Mode_Route_Flag" attribute="1" defaultMemberUniqueName="[global_supply_chain_risk_2026].[Mode_Route_Flag].[All]" allUniqueName="[global_supply_chain_risk_2026].[Mode_Route_Flag].[All]" dimensionUniqueName="[global_supply_chain_risk_2026]" displayFolder="" count="0" memberValueDatatype="130" unbalanced="0"/>
    <cacheHierarchy uniqueName="[global_supply_chain_risk_2026].[Origin_Continent]" caption="Origin_Continent" attribute="1" defaultMemberUniqueName="[global_supply_chain_risk_2026].[Origin_Continent].[All]" allUniqueName="[global_supply_chain_risk_2026].[Origin_Continent].[All]" dimensionUniqueName="[global_supply_chain_risk_2026]" displayFolder="" count="2" memberValueDatatype="130" unbalanced="0">
      <fieldsUsage count="2">
        <fieldUsage x="-1"/>
        <fieldUsage x="6"/>
      </fieldsUsage>
    </cacheHierarchy>
    <cacheHierarchy uniqueName="[global_supply_chain_risk_2026].[Destination_Continent]" caption="Destination_Continent" attribute="1" defaultMemberUniqueName="[global_supply_chain_risk_2026].[Destination_Continent].[All]" allUniqueName="[global_supply_chain_risk_2026].[Destination_Continent].[All]" dimensionUniqueName="[global_supply_chain_risk_2026]" displayFolder="" count="2" memberValueDatatype="130" unbalanced="0">
      <fieldsUsage count="2">
        <fieldUsage x="-1"/>
        <fieldUsage x="5"/>
      </fieldsUsage>
    </cacheHierarchy>
    <cacheHierarchy uniqueName="[global_supply_chain_risk_2026].[Cross_Continent]" caption="Cross_Continent" attribute="1" defaultMemberUniqueName="[global_supply_chain_risk_2026].[Cross_Continent].[All]" allUniqueName="[global_supply_chain_risk_2026].[Cross_Continent].[All]" dimensionUniqueName="[global_supply_chain_risk_2026]" displayFolder="" count="2" memberValueDatatype="130" unbalanced="0">
      <fieldsUsage count="2">
        <fieldUsage x="-1"/>
        <fieldUsage x="4"/>
      </fieldsUsage>
    </cacheHierarchy>
    <cacheHierarchy uniqueName="[global_supply_chain_risk_2026].[Route_Plausibility]" caption="Route_Plausibility" attribute="1" defaultMemberUniqueName="[global_supply_chain_risk_2026].[Route_Plausibility].[All]" allUniqueName="[global_supply_chain_risk_2026].[Route_Plausibility].[All]" dimensionUniqueName="[global_supply_chain_risk_2026]" displayFolder="" count="2" memberValueDatatype="130" unbalanced="0">
      <fieldsUsage count="2">
        <fieldUsage x="-1"/>
        <fieldUsage x="3"/>
      </fieldsUsage>
    </cacheHierarchy>
    <cacheHierarchy uniqueName="[global_supply_chain_risk_2026].[Fuel_Bracket_Label]" caption="Fuel_Bracket_Label" attribute="1" defaultMemberUniqueName="[global_supply_chain_risk_2026].[Fuel_Bracket_Label].[All]" allUniqueName="[global_supply_chain_risk_2026].[Fuel_Bracket_Label].[All]" dimensionUniqueName="[global_supply_chain_risk_2026]" displayFolder="" count="0" memberValueDatatype="130" unbalanced="0"/>
    <cacheHierarchy uniqueName="[PortRef 1].[Port]" caption="Port" attribute="1" defaultMemberUniqueName="[PortRef 1].[Port].[All]" allUniqueName="[PortRef 1].[Port].[All]" dimensionUniqueName="[PortRef 1]" displayFolder="" count="0" memberValueDatatype="130" unbalanced="0"/>
    <cacheHierarchy uniqueName="[PortRef 1].[Continent]" caption="Continent" attribute="1" defaultMemberUniqueName="[PortRef 1].[Continent].[All]" allUniqueName="[PortRef 1].[Continent].[All]" dimensionUniqueName="[PortRef 1]" displayFolder="" count="0" memberValueDatatype="130" unbalanced="0"/>
    <cacheHierarchy uniqueName="[Measures].[Sum of Distance_km]" caption="Sum of Distance_km" measure="1" displayFolder="" measureGroup="global_supply_chain_risk_2026" count="0">
      <extLst>
        <ext xmlns:x15="http://schemas.microsoft.com/office/spreadsheetml/2010/11/main" uri="{B97F6D7D-B522-45F9-BDA1-12C45D357490}">
          <x15:cacheHierarchy aggregatedColumn="6"/>
        </ext>
      </extLst>
    </cacheHierarchy>
    <cacheHierarchy uniqueName="[Measures].[Sum of Geopolitical_Risk_Score]" caption="Sum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erage of Geopolitical_Risk_Score]" caption="Average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g_Lead_Time]" caption="Avg_Lead_Time" measure="1" displayFolder="" measureGroup="global_supply_chain_risk_2026" count="0"/>
    <cacheHierarchy uniqueName="[Measures].[Avg_Reliability]" caption="Avg_Reliability" measure="1" displayFolder="" measureGroup="global_supply_chain_risk_2026" count="0"/>
    <cacheHierarchy uniqueName="[Measures].[Total_Weight_MT]" caption="Total_Weight_MT" measure="1" displayFolder="" measureGroup="global_supply_chain_risk_2026" count="0"/>
    <cacheHierarchy uniqueName="[Measures].[Disruption_Rate_PCT]" caption="Disruption_Rate_PCT" measure="1" displayFolder="" measureGroup="global_supply_chain_risk_2026" count="0" oneField="1">
      <fieldsUsage count="1">
        <fieldUsage x="2"/>
      </fieldsUsage>
    </cacheHierarchy>
    <cacheHierarchy uniqueName="[Measures].[Sample_n]" caption="Sample_n" measure="1" displayFolder="" measureGroup="global_supply_chain_risk_2026" count="0"/>
    <cacheHierarchy uniqueName="[Measures].[Flagged_Count]" caption="Flagged_Count" measure="1" displayFolder="" measureGroup="global_supply_chain_risk_2026" count="0"/>
    <cacheHierarchy uniqueName="[Measures].[Avg_Distance]" caption="Avg_Distance" measure="1" displayFolder="" measureGroup="global_supply_chain_risk_2026" count="0"/>
    <cacheHierarchy uniqueName="[Measures].[Avg_Weight]" caption="Avg_Weight" measure="1" displayFolder="" measureGroup="global_supply_chain_risk_2026" count="0"/>
    <cacheHierarchy uniqueName="[Measures].[__XL_Count global_supply_chain_risk_2026]" caption="__XL_Count global_supply_chain_risk_2026" measure="1" displayFolder="" measureGroup="global_supply_chain_risk_2026" count="0" hidden="1"/>
    <cacheHierarchy uniqueName="[Measures].[__XL_Count PortRef 1]" caption="__XL_Count PortRef 1" measure="1" displayFolder="" measureGroup="PortRef 1" count="0" hidden="1"/>
    <cacheHierarchy uniqueName="[Measures].[__No measures defined]" caption="__No measures defined" measure="1" displayFolder="" count="0" hidden="1"/>
  </cacheHierarchies>
  <kpis count="0"/>
  <dimensions count="3">
    <dimension name="global_supply_chain_risk_2026" uniqueName="[global_supply_chain_risk_2026]" caption="global_supply_chain_risk_2026"/>
    <dimension measure="1" name="Measures" uniqueName="[Measures]" caption="Measures"/>
    <dimension name="PortRef 1" uniqueName="[PortRef 1]" caption="PortRef 1"/>
  </dimensions>
  <measureGroups count="2">
    <measureGroup name="global_supply_chain_risk_2026" caption="global_supply_chain_risk_2026"/>
    <measureGroup name="PortRef 1" caption="PortRef 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87.463334837965" backgroundQuery="1" createdVersion="3" refreshedVersion="7" minRefreshableVersion="3" recordCount="0" supportSubquery="1" supportAdvancedDrill="1" xr:uid="{A6A92CF3-6BF3-4A75-875C-B48883D18D26}">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global_supply_chain_risk_2026].[Shipment_ID]" caption="Shipment_ID" attribute="1" defaultMemberUniqueName="[global_supply_chain_risk_2026].[Shipment_ID].[All]" allUniqueName="[global_supply_chain_risk_2026].[Shipment_ID].[All]" dimensionUniqueName="[global_supply_chain_risk_2026]" displayFolder="" count="0" memberValueDatatype="130" unbalanced="0"/>
    <cacheHierarchy uniqueName="[global_supply_chain_risk_2026].[Date]" caption="Date" attribute="1" time="1" defaultMemberUniqueName="[global_supply_chain_risk_2026].[Date].[All]" allUniqueName="[global_supply_chain_risk_2026].[Date].[All]" dimensionUniqueName="[global_supply_chain_risk_2026]" displayFolder="" count="2" memberValueDatatype="7" unbalanced="0"/>
    <cacheHierarchy uniqueName="[global_supply_chain_risk_2026].[Origin_Port]" caption="Origin_Port" attribute="1" defaultMemberUniqueName="[global_supply_chain_risk_2026].[Origin_Port].[All]" allUniqueName="[global_supply_chain_risk_2026].[Origin_Port].[All]" dimensionUniqueName="[global_supply_chain_risk_2026]" displayFolder="" count="0" memberValueDatatype="130" unbalanced="0"/>
    <cacheHierarchy uniqueName="[global_supply_chain_risk_2026].[Destination_Port]" caption="Destination_Port" attribute="1" defaultMemberUniqueName="[global_supply_chain_risk_2026].[Destination_Port].[All]" allUniqueName="[global_supply_chain_risk_2026].[Destination_Port].[All]" dimensionUniqueName="[global_supply_chain_risk_2026]" displayFolder="" count="0" memberValueDatatype="130" unbalanced="0"/>
    <cacheHierarchy uniqueName="[global_supply_chain_risk_2026].[Transport_Mode]" caption="Transport_Mode" attribute="1" defaultMemberUniqueName="[global_supply_chain_risk_2026].[Transport_Mode].[All]" allUniqueName="[global_supply_chain_risk_2026].[Transport_Mode].[All]" dimensionUniqueName="[global_supply_chain_risk_2026]" displayFolder="" count="2" memberValueDatatype="130" unbalanced="0"/>
    <cacheHierarchy uniqueName="[global_supply_chain_risk_2026].[Product_Category]" caption="Product_Category" attribute="1" defaultMemberUniqueName="[global_supply_chain_risk_2026].[Product_Category].[All]" allUniqueName="[global_supply_chain_risk_2026].[Product_Category].[All]" dimensionUniqueName="[global_supply_chain_risk_2026]" displayFolder="" count="2" memberValueDatatype="130" unbalanced="0"/>
    <cacheHierarchy uniqueName="[global_supply_chain_risk_2026].[Distance_km]" caption="Distance_km" attribute="1" defaultMemberUniqueName="[global_supply_chain_risk_2026].[Distance_km].[All]" allUniqueName="[global_supply_chain_risk_2026].[Distance_km].[All]" dimensionUniqueName="[global_supply_chain_risk_2026]" displayFolder="" count="0" memberValueDatatype="5" unbalanced="0"/>
    <cacheHierarchy uniqueName="[global_supply_chain_risk_2026].[Weight_MT]" caption="Weight_MT" attribute="1" defaultMemberUniqueName="[global_supply_chain_risk_2026].[Weight_MT].[All]" allUniqueName="[global_supply_chain_risk_2026].[Weight_MT].[All]" dimensionUniqueName="[global_supply_chain_risk_2026]" displayFolder="" count="0" memberValueDatatype="5" unbalanced="0"/>
    <cacheHierarchy uniqueName="[global_supply_chain_risk_2026].[Fuel_Price_Index]" caption="Fuel_Price_Index" attribute="1" defaultMemberUniqueName="[global_supply_chain_risk_2026].[Fuel_Price_Index].[All]" allUniqueName="[global_supply_chain_risk_2026].[Fuel_Price_Index].[All]" dimensionUniqueName="[global_supply_chain_risk_2026]" displayFolder="" count="0" memberValueDatatype="5" unbalanced="0"/>
    <cacheHierarchy uniqueName="[global_supply_chain_risk_2026].[Geopolitical_Risk_Score]" caption="Geopolitical_Risk_Score" attribute="1" defaultMemberUniqueName="[global_supply_chain_risk_2026].[Geopolitical_Risk_Score].[All]" allUniqueName="[global_supply_chain_risk_2026].[Geopolitical_Risk_Score].[All]" dimensionUniqueName="[global_supply_chain_risk_2026]" displayFolder="" count="0" memberValueDatatype="5" unbalanced="0"/>
    <cacheHierarchy uniqueName="[global_supply_chain_risk_2026].[Weather_Condition]" caption="Weather_Condition" attribute="1" defaultMemberUniqueName="[global_supply_chain_risk_2026].[Weather_Condition].[All]" allUniqueName="[global_supply_chain_risk_2026].[Weather_Condition].[All]" dimensionUniqueName="[global_supply_chain_risk_2026]" displayFolder="" count="2" memberValueDatatype="130" unbalanced="0"/>
    <cacheHierarchy uniqueName="[global_supply_chain_risk_2026].[Carrier_Reliability_Score]" caption="Carrier_Reliability_Score" attribute="1" defaultMemberUniqueName="[global_supply_chain_risk_2026].[Carrier_Reliability_Score].[All]" allUniqueName="[global_supply_chain_risk_2026].[Carrier_Reliability_Score].[All]" dimensionUniqueName="[global_supply_chain_risk_2026]" displayFolder="" count="0" memberValueDatatype="5" unbalanced="0"/>
    <cacheHierarchy uniqueName="[global_supply_chain_risk_2026].[Lead_Time_Days]" caption="Lead_Time_Days" attribute="1" defaultMemberUniqueName="[global_supply_chain_risk_2026].[Lead_Time_Days].[All]" allUniqueName="[global_supply_chain_risk_2026].[Lead_Time_Days].[All]" dimensionUniqueName="[global_supply_chain_risk_2026]" displayFolder="" count="0" memberValueDatatype="5" unbalanced="0"/>
    <cacheHierarchy uniqueName="[global_supply_chain_risk_2026].[Disruption_Occurred]" caption="Disruption_Occurred" attribute="1" defaultMemberUniqueName="[global_supply_chain_risk_2026].[Disruption_Occurred].[All]" allUniqueName="[global_supply_chain_risk_2026].[Disruption_Occurred].[All]" dimensionUniqueName="[global_supply_chain_risk_2026]" displayFolder="" count="0" memberValueDatatype="5" unbalanced="0"/>
    <cacheHierarchy uniqueName="[global_supply_chain_risk_2026].[Fuel_Price_Bracket]" caption="Fuel_Price_Bracket" attribute="1" defaultMemberUniqueName="[global_supply_chain_risk_2026].[Fuel_Price_Bracket].[All]" allUniqueName="[global_supply_chain_risk_2026].[Fuel_Price_Bracket].[All]" dimensionUniqueName="[global_supply_chain_risk_2026]" displayFolder="" count="0" memberValueDatatype="130" unbalanced="0"/>
    <cacheHierarchy uniqueName="[global_supply_chain_risk_2026].[Mode_Route_Flag]" caption="Mode_Route_Flag" attribute="1" defaultMemberUniqueName="[global_supply_chain_risk_2026].[Mode_Route_Flag].[All]" allUniqueName="[global_supply_chain_risk_2026].[Mode_Route_Flag].[All]" dimensionUniqueName="[global_supply_chain_risk_2026]" displayFolder="" count="0" memberValueDatatype="130" unbalanced="0"/>
    <cacheHierarchy uniqueName="[global_supply_chain_risk_2026].[Origin_Continent]" caption="Origin_Continent" attribute="1" defaultMemberUniqueName="[global_supply_chain_risk_2026].[Origin_Continent].[All]" allUniqueName="[global_supply_chain_risk_2026].[Origin_Continent].[All]" dimensionUniqueName="[global_supply_chain_risk_2026]" displayFolder="" count="0" memberValueDatatype="130" unbalanced="0"/>
    <cacheHierarchy uniqueName="[global_supply_chain_risk_2026].[Destination_Continent]" caption="Destination_Continent" attribute="1" defaultMemberUniqueName="[global_supply_chain_risk_2026].[Destination_Continent].[All]" allUniqueName="[global_supply_chain_risk_2026].[Destination_Continent].[All]" dimensionUniqueName="[global_supply_chain_risk_2026]" displayFolder="" count="0" memberValueDatatype="130" unbalanced="0"/>
    <cacheHierarchy uniqueName="[global_supply_chain_risk_2026].[Cross_Continent]" caption="Cross_Continent" attribute="1" defaultMemberUniqueName="[global_supply_chain_risk_2026].[Cross_Continent].[All]" allUniqueName="[global_supply_chain_risk_2026].[Cross_Continent].[All]" dimensionUniqueName="[global_supply_chain_risk_2026]" displayFolder="" count="0" memberValueDatatype="130" unbalanced="0"/>
    <cacheHierarchy uniqueName="[global_supply_chain_risk_2026].[Route_Plausibility]" caption="Route_Plausibility" attribute="1" defaultMemberUniqueName="[global_supply_chain_risk_2026].[Route_Plausibility].[All]" allUniqueName="[global_supply_chain_risk_2026].[Route_Plausibility].[All]" dimensionUniqueName="[global_supply_chain_risk_2026]" displayFolder="" count="2" memberValueDatatype="130" unbalanced="0"/>
    <cacheHierarchy uniqueName="[global_supply_chain_risk_2026].[Fuel_Bracket_Label]" caption="Fuel_Bracket_Label" attribute="1" defaultMemberUniqueName="[global_supply_chain_risk_2026].[Fuel_Bracket_Label].[All]" allUniqueName="[global_supply_chain_risk_2026].[Fuel_Bracket_Label].[All]" dimensionUniqueName="[global_supply_chain_risk_2026]" displayFolder="" count="0" memberValueDatatype="130" unbalanced="0"/>
    <cacheHierarchy uniqueName="[PortRef 1].[Port]" caption="Port" attribute="1" defaultMemberUniqueName="[PortRef 1].[Port].[All]" allUniqueName="[PortRef 1].[Port].[All]" dimensionUniqueName="[PortRef 1]" displayFolder="" count="0" memberValueDatatype="130" unbalanced="0"/>
    <cacheHierarchy uniqueName="[PortRef 1].[Continent]" caption="Continent" attribute="1" defaultMemberUniqueName="[PortRef 1].[Continent].[All]" allUniqueName="[PortRef 1].[Continent].[All]" dimensionUniqueName="[PortRef 1]" displayFolder="" count="0" memberValueDatatype="130" unbalanced="0"/>
    <cacheHierarchy uniqueName="[Measures].[Sum of Distance_km]" caption="Sum of Distance_km" measure="1" displayFolder="" measureGroup="global_supply_chain_risk_2026" count="0">
      <extLst>
        <ext xmlns:x15="http://schemas.microsoft.com/office/spreadsheetml/2010/11/main" uri="{B97F6D7D-B522-45F9-BDA1-12C45D357490}">
          <x15:cacheHierarchy aggregatedColumn="6"/>
        </ext>
      </extLst>
    </cacheHierarchy>
    <cacheHierarchy uniqueName="[Measures].[Sum of Geopolitical_Risk_Score]" caption="Sum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erage of Geopolitical_Risk_Score]" caption="Average of Geopolitical_Risk_Score" measure="1" displayFolder="" measureGroup="global_supply_chain_risk_2026" count="0">
      <extLst>
        <ext xmlns:x15="http://schemas.microsoft.com/office/spreadsheetml/2010/11/main" uri="{B97F6D7D-B522-45F9-BDA1-12C45D357490}">
          <x15:cacheHierarchy aggregatedColumn="9"/>
        </ext>
      </extLst>
    </cacheHierarchy>
    <cacheHierarchy uniqueName="[Measures].[Avg_Lead_Time]" caption="Avg_Lead_Time" measure="1" displayFolder="" measureGroup="global_supply_chain_risk_2026" count="0"/>
    <cacheHierarchy uniqueName="[Measures].[Avg_Reliability]" caption="Avg_Reliability" measure="1" displayFolder="" measureGroup="global_supply_chain_risk_2026" count="0"/>
    <cacheHierarchy uniqueName="[Measures].[Total_Weight_MT]" caption="Total_Weight_MT" measure="1" displayFolder="" measureGroup="global_supply_chain_risk_2026" count="0"/>
    <cacheHierarchy uniqueName="[Measures].[Disruption_Rate_PCT]" caption="Disruption_Rate_PCT" measure="1" displayFolder="" measureGroup="global_supply_chain_risk_2026" count="0"/>
    <cacheHierarchy uniqueName="[Measures].[Sample_n]" caption="Sample_n" measure="1" displayFolder="" measureGroup="global_supply_chain_risk_2026" count="0"/>
    <cacheHierarchy uniqueName="[Measures].[Flagged_Count]" caption="Flagged_Count" measure="1" displayFolder="" measureGroup="global_supply_chain_risk_2026" count="0"/>
    <cacheHierarchy uniqueName="[Measures].[Avg_Distance]" caption="Avg_Distance" measure="1" displayFolder="" measureGroup="global_supply_chain_risk_2026" count="0"/>
    <cacheHierarchy uniqueName="[Measures].[Avg_Weight]" caption="Avg_Weight" measure="1" displayFolder="" measureGroup="global_supply_chain_risk_2026" count="0"/>
    <cacheHierarchy uniqueName="[Measures].[__XL_Count global_supply_chain_risk_2026]" caption="__XL_Count global_supply_chain_risk_2026" measure="1" displayFolder="" measureGroup="global_supply_chain_risk_2026" count="0" hidden="1"/>
    <cacheHierarchy uniqueName="[Measures].[__XL_Count PortRef 1]" caption="__XL_Count PortRef 1" measure="1" displayFolder="" measureGroup="PortRef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624732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8BFE89-A423-416B-91DE-FA9A5CE04B1C}" name="PivotTable3" cacheId="136" applyNumberFormats="0" applyBorderFormats="0" applyFontFormats="0" applyPatternFormats="0" applyAlignmentFormats="0" applyWidthHeightFormats="1" dataCaption="Values" tag="7fbd1bad-f6be-490d-8810-e623d46c763d" updatedVersion="7" minRefreshableVersion="3" useAutoFormatting="1" subtotalHiddenItems="1" rowGrandTotals="0" colGrandTotals="0" itemPrintTitles="1" createdVersion="7" indent="0" outline="1" outlineData="1" multipleFieldFilters="0" chartFormat="5" rowHeaderCaption="Product" colHeaderCaption="Transport Mode">
  <location ref="M6:Q31" firstHeaderRow="0" firstDataRow="1" firstDataCol="1" rowPageCount="4" colPageCount="1"/>
  <pivotFields count="12">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25">
    <i>
      <x/>
    </i>
    <i r="1">
      <x/>
    </i>
    <i r="1">
      <x v="1"/>
    </i>
    <i r="1">
      <x v="2"/>
    </i>
    <i r="1">
      <x v="3"/>
    </i>
    <i>
      <x v="1"/>
    </i>
    <i r="1">
      <x/>
    </i>
    <i r="1">
      <x v="1"/>
    </i>
    <i r="1">
      <x v="2"/>
    </i>
    <i r="1">
      <x v="3"/>
    </i>
    <i>
      <x v="2"/>
    </i>
    <i r="1">
      <x/>
    </i>
    <i r="1">
      <x v="1"/>
    </i>
    <i r="1">
      <x v="2"/>
    </i>
    <i r="1">
      <x v="3"/>
    </i>
    <i>
      <x v="3"/>
    </i>
    <i r="1">
      <x/>
    </i>
    <i r="1">
      <x v="1"/>
    </i>
    <i r="1">
      <x v="2"/>
    </i>
    <i r="1">
      <x v="3"/>
    </i>
    <i>
      <x v="4"/>
    </i>
    <i r="1">
      <x/>
    </i>
    <i r="1">
      <x v="1"/>
    </i>
    <i r="1">
      <x v="2"/>
    </i>
    <i r="1">
      <x v="3"/>
    </i>
  </rowItems>
  <colFields count="1">
    <field x="-2"/>
  </colFields>
  <colItems count="4">
    <i>
      <x/>
    </i>
    <i i="1">
      <x v="1"/>
    </i>
    <i i="2">
      <x v="2"/>
    </i>
    <i i="3">
      <x v="3"/>
    </i>
  </colItems>
  <pageFields count="4">
    <pageField fld="4" hier="19" name="[global_supply_chain_risk_2026].[Route_Plausibility].&amp;[OK]" cap="OK"/>
    <pageField fld="7" hier="16" name="[global_supply_chain_risk_2026].[Origin_Continent].[All]" cap="All"/>
    <pageField fld="6" hier="17" name="[global_supply_chain_risk_2026].[Destination_Continent].[All]" cap="All"/>
    <pageField fld="5" hier="18" name="[global_supply_chain_risk_2026].[Cross_Continent].[All]" cap="All"/>
  </pageFields>
  <dataFields count="4">
    <dataField fld="2" subtotal="count" baseField="0" baseItem="0"/>
    <dataField name="Sum of Distance_km" fld="3" baseField="0" baseItem="0"/>
    <dataField fld="8" subtotal="count" baseField="0" baseItem="0"/>
    <dataField fld="9" subtotal="count" baseField="0" baseItem="0"/>
  </dataFields>
  <pivotHierarchies count="37">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lobal_supply_chain_risk_2026].[Route_Plausibility].&amp;[OK]"/>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supply_chain_risk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722F09-410C-41EC-96E5-F299F7885413}" name="PivotTable6" cacheId="140" applyNumberFormats="0" applyBorderFormats="0" applyFontFormats="0" applyPatternFormats="0" applyAlignmentFormats="0" applyWidthHeightFormats="1" dataCaption="Values" tag="089ae449-a37f-4610-9acc-812c3efd1285" updatedVersion="7" minRefreshableVersion="3" useAutoFormatting="1" subtotalHiddenItems="1" itemPrintTitles="1" createdVersion="7" indent="0" outline="1" outlineData="1" multipleFieldFilters="0" rowHeaderCaption="Route_Plausibility">
  <location ref="M51:N53" firstHeaderRow="1" firstDataRow="1" firstDataCol="1"/>
  <pivotFields count="6">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37">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supply_chain_risk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555453-467B-48C0-B18D-2C17EB22B4E4}" name="PivotTable4" cacheId="137" applyNumberFormats="0" applyBorderFormats="0" applyFontFormats="0" applyPatternFormats="0" applyAlignmentFormats="0" applyWidthHeightFormats="1" dataCaption="Values" tag="2fc5bcf1-26ca-4366-8511-9f7ead53554b" updatedVersion="7" minRefreshableVersion="3" useAutoFormatting="1" subtotalHiddenItems="1" rowGrandTotals="0" colGrandTotals="0" itemPrintTitles="1" createdVersion="7" indent="0" outline="1" outlineData="1" multipleFieldFilters="0" chartFormat="4" rowHeaderCaption="Fuel Price Index" colHeaderCaption="Transport Mode">
  <location ref="M39:Q43" firstHeaderRow="1" firstDataRow="2" firstDataCol="1" rowPageCount="4" colPageCount="1"/>
  <pivotFields count="10">
    <pivotField axis="axisCol"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3">
        <item x="1"/>
        <item x="2"/>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6"/>
  </rowFields>
  <rowItems count="3">
    <i>
      <x/>
    </i>
    <i>
      <x v="1"/>
    </i>
    <i>
      <x v="2"/>
    </i>
  </rowItems>
  <colFields count="1">
    <field x="0"/>
  </colFields>
  <colItems count="4">
    <i>
      <x/>
    </i>
    <i>
      <x v="1"/>
    </i>
    <i>
      <x v="2"/>
    </i>
    <i>
      <x v="3"/>
    </i>
  </colItems>
  <pageFields count="4">
    <pageField fld="2" hier="19" name="[global_supply_chain_risk_2026].[Route_Plausibility].&amp;[OK]" cap="OK"/>
    <pageField fld="5" hier="16" name="[global_supply_chain_risk_2026].[Origin_Continent].[All]" cap="All"/>
    <pageField fld="4" hier="17" name="[global_supply_chain_risk_2026].[Destination_Continent].[All]" cap="All"/>
    <pageField fld="3" hier="18" name="[global_supply_chain_risk_2026].[Cross_Continent].[All]" cap="All"/>
  </pageFields>
  <dataFields count="1">
    <dataField fld="1" subtotal="count" baseField="0" baseItem="0"/>
  </dataFields>
  <formats count="3">
    <format dxfId="2">
      <pivotArea outline="0" collapsedLevelsAreSubtotals="1" fieldPosition="0">
        <references count="1">
          <reference field="0" count="1" selected="0">
            <x v="0"/>
          </reference>
        </references>
      </pivotArea>
    </format>
    <format dxfId="1">
      <pivotArea outline="0" collapsedLevelsAreSubtotals="1" fieldPosition="0">
        <references count="1">
          <reference field="0" count="2" selected="0">
            <x v="1"/>
            <x v="2"/>
          </reference>
        </references>
      </pivotArea>
    </format>
    <format dxfId="0">
      <pivotArea outline="0" collapsedLevelsAreSubtotals="1" fieldPosition="0">
        <references count="1">
          <reference field="0" count="1" selected="0">
            <x v="3"/>
          </reference>
        </references>
      </pivotArea>
    </format>
  </formats>
  <chartFormats count="5">
    <chartFormat chart="3" format="8" series="1">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2">
          <reference field="4294967294" count="1" selected="0">
            <x v="0"/>
          </reference>
          <reference field="0" count="1" selected="0">
            <x v="2"/>
          </reference>
        </references>
      </pivotArea>
    </chartFormat>
    <chartFormat chart="3" format="11" series="1">
      <pivotArea type="data" outline="0" fieldPosition="0">
        <references count="2">
          <reference field="4294967294" count="1" selected="0">
            <x v="0"/>
          </reference>
          <reference field="0" count="1" selected="0">
            <x v="3"/>
          </reference>
        </references>
      </pivotArea>
    </chartFormat>
    <chartFormat chart="3" format="1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lobal_supply_chain_risk_2026].[Route_Plausibility].&amp;[OK]"/>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supply_chain_risk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DB1803-6563-4785-9CEF-87E41D29FE16}" name="PivotTable2" cacheId="141" applyNumberFormats="0" applyBorderFormats="0" applyFontFormats="0" applyPatternFormats="0" applyAlignmentFormats="0" applyWidthHeightFormats="1" dataCaption="Values" tag="3b524e0b-3d31-48f8-8b55-85604718294a" updatedVersion="7" minRefreshableVersion="3" useAutoFormatting="1" subtotalHiddenItems="1" rowGrandTotals="0" colGrandTotals="0" itemPrintTitles="1" createdVersion="7" indent="0" outline="1" outlineData="1" multipleFieldFilters="0" chartFormat="3" rowHeaderCaption="Transport Mode" colHeaderCaption="Weather">
  <location ref="F6:K11" firstHeaderRow="1" firstDataRow="2" firstDataCol="1" rowPageCount="4" colPageCount="1"/>
  <pivotFields count="9">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x v="3"/>
    </i>
  </rowItems>
  <colFields count="1">
    <field x="1"/>
  </colFields>
  <colItems count="5">
    <i>
      <x/>
    </i>
    <i>
      <x v="1"/>
    </i>
    <i>
      <x v="2"/>
    </i>
    <i>
      <x v="3"/>
    </i>
    <i>
      <x v="4"/>
    </i>
  </colItems>
  <pageFields count="4">
    <pageField fld="3" hier="19" name="[global_supply_chain_risk_2026].[Route_Plausibility].&amp;[OK]" cap="OK"/>
    <pageField fld="6" hier="16" name="[global_supply_chain_risk_2026].[Origin_Continent].[All]" cap="All"/>
    <pageField fld="5" hier="17" name="[global_supply_chain_risk_2026].[Destination_Continent].[All]" cap="All"/>
    <pageField fld="4" hier="18" name="[global_supply_chain_risk_2026].[Cross_Continent].[All]" cap="All"/>
  </pageFields>
  <dataFields count="1">
    <dataField fld="2" subtotal="count" baseField="0" baseItem="0"/>
  </dataFields>
  <chartFormats count="6">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 chart="2" format="15"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lobal_supply_chain_risk_2026].[Route_Plausibility].&amp;[OK]"/>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supply_chain_risk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D14890-33FF-4472-9003-7B098FCDE661}" name="PivotTable1" cacheId="135" applyNumberFormats="0" applyBorderFormats="0" applyFontFormats="0" applyPatternFormats="0" applyAlignmentFormats="0" applyWidthHeightFormats="1" dataCaption="Values" tag="b912e1d5-a380-433e-ab51-82a8ddd9fb0b" updatedVersion="7" minRefreshableVersion="3" useAutoFormatting="1" subtotalHiddenItems="1" itemPrintTitles="1" createdVersion="7" indent="0" outline="1" outlineData="1" multipleFieldFilters="0">
  <location ref="A6:D7"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numFmtId="166"/>
    <dataField fld="2" subtotal="count" baseField="0" baseItem="0"/>
    <dataField fld="3" subtotal="count" baseField="0" baseItem="0"/>
  </dataFields>
  <formats count="2">
    <format dxfId="5">
      <pivotArea outline="0" collapsedLevelsAreSubtotals="1" fieldPosition="0">
        <references count="1">
          <reference field="4294967294" count="1" selected="0">
            <x v="1"/>
          </reference>
        </references>
      </pivotArea>
    </format>
    <format dxfId="4">
      <pivotArea outline="0" fieldPosition="0">
        <references count="1">
          <reference field="4294967294" count="1">
            <x v="1"/>
          </reference>
        </references>
      </pivotArea>
    </format>
  </formats>
  <pivotHierarchies count="37">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lobal_supply_chain_risk_2026].[Route_Plausibility].&amp;[OK]"/>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supply_chain_risk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519DB7-AE4C-43CC-8B70-80367F43EAC9}" name="PivotTable5" cacheId="138" applyNumberFormats="0" applyBorderFormats="0" applyFontFormats="0" applyPatternFormats="0" applyAlignmentFormats="0" applyWidthHeightFormats="1" dataCaption="Values" tag="683b360f-c114-45ec-8050-fb32afa92344" updatedVersion="7" minRefreshableVersion="3" useAutoFormatting="1" subtotalHiddenItems="1" rowGrandTotals="0" colGrandTotals="0" itemPrintTitles="1" createdVersion="7" indent="0" outline="1" outlineData="1" multipleFieldFilters="0" chartFormat="3" rowHeaderCaption="Origin Port" colHeaderCaption="Transport Mode">
  <location ref="A29:E38" firstHeaderRow="1" firstDataRow="2" firstDataCol="1" rowPageCount="4" colPageCount="1"/>
  <pivotFields count="10">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x v="7"/>
    </i>
  </rowItems>
  <colFields count="1">
    <field x="1"/>
  </colFields>
  <colItems count="4">
    <i>
      <x/>
    </i>
    <i>
      <x v="1"/>
    </i>
    <i>
      <x v="2"/>
    </i>
    <i>
      <x v="3"/>
    </i>
  </colItems>
  <pageFields count="4">
    <pageField fld="3" hier="19" name="[global_supply_chain_risk_2026].[Route_Plausibility].&amp;[OK]" cap="OK"/>
    <pageField fld="4" hier="18" name="[global_supply_chain_risk_2026].[Cross_Continent].[All]" cap="All"/>
    <pageField fld="5" hier="17" name="[global_supply_chain_risk_2026].[Destination_Continent].[All]" cap="All"/>
    <pageField fld="6" hier="16" name="[global_supply_chain_risk_2026].[Origin_Continent].[All]" cap="All"/>
  </pageFields>
  <dataFields count="1">
    <dataField name="Average of Geopolitical_Risk_Score" fld="2" subtotal="average" baseField="0" baseItem="0" numFmtId="2"/>
  </dataFields>
  <chartFormats count="5">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 chart="2" format="1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lobal_supply_chain_risk_2026].[Route_Plausibility].&amp;[OK]"/>
      </members>
    </pivotHierarchy>
    <pivotHierarchy dragToData="1"/>
    <pivotHierarchy dragToData="1"/>
    <pivotHierarchy dragToData="1"/>
    <pivotHierarchy dragToData="1"/>
    <pivotHierarchy dragToData="1"/>
    <pivotHierarchy dragToData="1" caption="Average of Geopolitical_Risk_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supply_chain_risk_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FD445D-E581-4E60-AF70-012BBC3B1850}" name="PivotTable7" cacheId="139" applyNumberFormats="0" applyBorderFormats="0" applyFontFormats="0" applyPatternFormats="0" applyAlignmentFormats="0" applyWidthHeightFormats="1" dataCaption="Values" tag="2da50bd6-74bf-49ed-98d3-3874a7174de1" updatedVersion="7" minRefreshableVersion="3" useAutoFormatting="1" subtotalHiddenItems="1" itemPrintTitles="1" createdVersion="7" indent="0" outline="1" outlineData="1" multipleFieldFilters="0">
  <location ref="A3:D29" firstHeaderRow="0" firstDataRow="1" firstDataCol="1"/>
  <pivotFields count="8">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pivotHierarchies count="37">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lobal_supply_chain_risk_2026].[Route_Plausibility].&amp;[OK]"/>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supply_chain_risk_2026]"/>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E223C82-317C-4CE8-AD7A-65FFE2902F0B}" sourceName="[global_supply_chain_risk_2026].[Date]">
  <pivotTables>
    <pivotTable tabId="1" name="PivotTable2"/>
    <pivotTable tabId="1" name="PivotTable1"/>
    <pivotTable tabId="1" name="PivotTable3"/>
    <pivotTable tabId="1" name="PivotTable4"/>
    <pivotTable tabId="1" name="PivotTable5"/>
    <pivotTable tabId="6" name="PivotTable7"/>
    <pivotTable tabId="1" name="PivotTable6"/>
  </pivotTables>
  <data>
    <olap pivotCacheId="962473282">
      <levels count="2">
        <level uniqueName="[global_supply_chain_risk_2026].[Date].[(All)]" sourceCaption="(All)" count="0"/>
        <level uniqueName="[global_supply_chain_risk_2026].[Date].[Date]" sourceCaption="Date" count="731">
          <ranges>
            <range startItem="0">
              <i n="[global_supply_chain_risk_2026].[Date].&amp;[2024-01-01T00:00:00]" c="1/1/2024"/>
              <i n="[global_supply_chain_risk_2026].[Date].&amp;[2024-01-02T00:00:00]" c="1/2/2024"/>
              <i n="[global_supply_chain_risk_2026].[Date].&amp;[2024-01-03T00:00:00]" c="1/3/2024"/>
              <i n="[global_supply_chain_risk_2026].[Date].&amp;[2024-01-04T00:00:00]" c="1/4/2024"/>
              <i n="[global_supply_chain_risk_2026].[Date].&amp;[2024-01-05T00:00:00]" c="1/5/2024"/>
              <i n="[global_supply_chain_risk_2026].[Date].&amp;[2024-01-06T00:00:00]" c="1/6/2024"/>
              <i n="[global_supply_chain_risk_2026].[Date].&amp;[2024-01-07T00:00:00]" c="1/7/2024"/>
              <i n="[global_supply_chain_risk_2026].[Date].&amp;[2024-01-08T00:00:00]" c="1/8/2024"/>
              <i n="[global_supply_chain_risk_2026].[Date].&amp;[2024-01-09T00:00:00]" c="1/9/2024"/>
              <i n="[global_supply_chain_risk_2026].[Date].&amp;[2024-01-10T00:00:00]" c="1/10/2024"/>
              <i n="[global_supply_chain_risk_2026].[Date].&amp;[2024-01-11T00:00:00]" c="1/11/2024"/>
              <i n="[global_supply_chain_risk_2026].[Date].&amp;[2024-01-12T00:00:00]" c="1/12/2024"/>
              <i n="[global_supply_chain_risk_2026].[Date].&amp;[2024-01-13T00:00:00]" c="1/13/2024"/>
              <i n="[global_supply_chain_risk_2026].[Date].&amp;[2024-01-15T00:00:00]" c="1/15/2024"/>
              <i n="[global_supply_chain_risk_2026].[Date].&amp;[2024-01-16T00:00:00]" c="1/16/2024"/>
              <i n="[global_supply_chain_risk_2026].[Date].&amp;[2024-01-17T00:00:00]" c="1/17/2024"/>
              <i n="[global_supply_chain_risk_2026].[Date].&amp;[2024-01-18T00:00:00]" c="1/18/2024"/>
              <i n="[global_supply_chain_risk_2026].[Date].&amp;[2024-01-19T00:00:00]" c="1/19/2024"/>
              <i n="[global_supply_chain_risk_2026].[Date].&amp;[2024-01-20T00:00:00]" c="1/20/2024"/>
              <i n="[global_supply_chain_risk_2026].[Date].&amp;[2024-01-21T00:00:00]" c="1/21/2024"/>
              <i n="[global_supply_chain_risk_2026].[Date].&amp;[2024-01-22T00:00:00]" c="1/22/2024"/>
              <i n="[global_supply_chain_risk_2026].[Date].&amp;[2024-01-23T00:00:00]" c="1/23/2024"/>
              <i n="[global_supply_chain_risk_2026].[Date].&amp;[2024-01-24T00:00:00]" c="1/24/2024"/>
              <i n="[global_supply_chain_risk_2026].[Date].&amp;[2024-01-25T00:00:00]" c="1/25/2024"/>
              <i n="[global_supply_chain_risk_2026].[Date].&amp;[2024-01-26T00:00:00]" c="1/26/2024"/>
              <i n="[global_supply_chain_risk_2026].[Date].&amp;[2024-01-27T00:00:00]" c="1/27/2024"/>
              <i n="[global_supply_chain_risk_2026].[Date].&amp;[2024-01-28T00:00:00]" c="1/28/2024"/>
              <i n="[global_supply_chain_risk_2026].[Date].&amp;[2024-01-29T00:00:00]" c="1/29/2024"/>
              <i n="[global_supply_chain_risk_2026].[Date].&amp;[2024-01-30T00:00:00]" c="1/30/2024"/>
              <i n="[global_supply_chain_risk_2026].[Date].&amp;[2024-01-31T00:00:00]" c="1/31/2024"/>
              <i n="[global_supply_chain_risk_2026].[Date].&amp;[2024-02-01T00:00:00]" c="2/1/2024"/>
              <i n="[global_supply_chain_risk_2026].[Date].&amp;[2024-02-02T00:00:00]" c="2/2/2024"/>
              <i n="[global_supply_chain_risk_2026].[Date].&amp;[2024-02-03T00:00:00]" c="2/3/2024"/>
              <i n="[global_supply_chain_risk_2026].[Date].&amp;[2024-02-04T00:00:00]" c="2/4/2024"/>
              <i n="[global_supply_chain_risk_2026].[Date].&amp;[2024-02-05T00:00:00]" c="2/5/2024"/>
              <i n="[global_supply_chain_risk_2026].[Date].&amp;[2024-02-06T00:00:00]" c="2/6/2024"/>
              <i n="[global_supply_chain_risk_2026].[Date].&amp;[2024-02-07T00:00:00]" c="2/7/2024"/>
              <i n="[global_supply_chain_risk_2026].[Date].&amp;[2024-02-08T00:00:00]" c="2/8/2024"/>
              <i n="[global_supply_chain_risk_2026].[Date].&amp;[2024-02-09T00:00:00]" c="2/9/2024"/>
              <i n="[global_supply_chain_risk_2026].[Date].&amp;[2024-02-10T00:00:00]" c="2/10/2024"/>
              <i n="[global_supply_chain_risk_2026].[Date].&amp;[2024-02-11T00:00:00]" c="2/11/2024"/>
              <i n="[global_supply_chain_risk_2026].[Date].&amp;[2024-02-12T00:00:00]" c="2/12/2024"/>
              <i n="[global_supply_chain_risk_2026].[Date].&amp;[2024-02-13T00:00:00]" c="2/13/2024"/>
              <i n="[global_supply_chain_risk_2026].[Date].&amp;[2024-02-14T00:00:00]" c="2/14/2024"/>
              <i n="[global_supply_chain_risk_2026].[Date].&amp;[2024-02-15T00:00:00]" c="2/15/2024"/>
              <i n="[global_supply_chain_risk_2026].[Date].&amp;[2024-02-16T00:00:00]" c="2/16/2024"/>
              <i n="[global_supply_chain_risk_2026].[Date].&amp;[2024-02-17T00:00:00]" c="2/17/2024"/>
              <i n="[global_supply_chain_risk_2026].[Date].&amp;[2024-02-18T00:00:00]" c="2/18/2024"/>
              <i n="[global_supply_chain_risk_2026].[Date].&amp;[2024-02-19T00:00:00]" c="2/19/2024"/>
              <i n="[global_supply_chain_risk_2026].[Date].&amp;[2024-02-20T00:00:00]" c="2/20/2024"/>
              <i n="[global_supply_chain_risk_2026].[Date].&amp;[2024-02-21T00:00:00]" c="2/21/2024"/>
              <i n="[global_supply_chain_risk_2026].[Date].&amp;[2024-02-22T00:00:00]" c="2/22/2024"/>
              <i n="[global_supply_chain_risk_2026].[Date].&amp;[2024-02-23T00:00:00]" c="2/23/2024"/>
              <i n="[global_supply_chain_risk_2026].[Date].&amp;[2024-02-24T00:00:00]" c="2/24/2024"/>
              <i n="[global_supply_chain_risk_2026].[Date].&amp;[2024-02-25T00:00:00]" c="2/25/2024"/>
              <i n="[global_supply_chain_risk_2026].[Date].&amp;[2024-02-26T00:00:00]" c="2/26/2024"/>
              <i n="[global_supply_chain_risk_2026].[Date].&amp;[2024-02-27T00:00:00]" c="2/27/2024"/>
              <i n="[global_supply_chain_risk_2026].[Date].&amp;[2024-02-28T00:00:00]" c="2/28/2024"/>
              <i n="[global_supply_chain_risk_2026].[Date].&amp;[2024-02-29T00:00:00]" c="2/29/2024"/>
              <i n="[global_supply_chain_risk_2026].[Date].&amp;[2024-03-01T00:00:00]" c="3/1/2024"/>
              <i n="[global_supply_chain_risk_2026].[Date].&amp;[2024-03-02T00:00:00]" c="3/2/2024"/>
              <i n="[global_supply_chain_risk_2026].[Date].&amp;[2024-03-03T00:00:00]" c="3/3/2024"/>
              <i n="[global_supply_chain_risk_2026].[Date].&amp;[2024-03-04T00:00:00]" c="3/4/2024"/>
              <i n="[global_supply_chain_risk_2026].[Date].&amp;[2024-03-05T00:00:00]" c="3/5/2024"/>
              <i n="[global_supply_chain_risk_2026].[Date].&amp;[2024-03-06T00:00:00]" c="3/6/2024"/>
              <i n="[global_supply_chain_risk_2026].[Date].&amp;[2024-03-07T00:00:00]" c="3/7/2024"/>
              <i n="[global_supply_chain_risk_2026].[Date].&amp;[2024-03-08T00:00:00]" c="3/8/2024"/>
              <i n="[global_supply_chain_risk_2026].[Date].&amp;[2024-03-09T00:00:00]" c="3/9/2024"/>
              <i n="[global_supply_chain_risk_2026].[Date].&amp;[2024-03-10T00:00:00]" c="3/10/2024"/>
              <i n="[global_supply_chain_risk_2026].[Date].&amp;[2024-03-11T00:00:00]" c="3/11/2024"/>
              <i n="[global_supply_chain_risk_2026].[Date].&amp;[2024-03-12T00:00:00]" c="3/12/2024"/>
              <i n="[global_supply_chain_risk_2026].[Date].&amp;[2024-03-13T00:00:00]" c="3/13/2024"/>
              <i n="[global_supply_chain_risk_2026].[Date].&amp;[2024-03-14T00:00:00]" c="3/14/2024"/>
              <i n="[global_supply_chain_risk_2026].[Date].&amp;[2024-03-15T00:00:00]" c="3/15/2024"/>
              <i n="[global_supply_chain_risk_2026].[Date].&amp;[2024-03-16T00:00:00]" c="3/16/2024"/>
              <i n="[global_supply_chain_risk_2026].[Date].&amp;[2024-03-17T00:00:00]" c="3/17/2024"/>
              <i n="[global_supply_chain_risk_2026].[Date].&amp;[2024-03-18T00:00:00]" c="3/18/2024"/>
              <i n="[global_supply_chain_risk_2026].[Date].&amp;[2024-03-19T00:00:00]" c="3/19/2024"/>
              <i n="[global_supply_chain_risk_2026].[Date].&amp;[2024-03-20T00:00:00]" c="3/20/2024"/>
              <i n="[global_supply_chain_risk_2026].[Date].&amp;[2024-03-21T00:00:00]" c="3/21/2024"/>
              <i n="[global_supply_chain_risk_2026].[Date].&amp;[2024-03-22T00:00:00]" c="3/22/2024"/>
              <i n="[global_supply_chain_risk_2026].[Date].&amp;[2024-03-23T00:00:00]" c="3/23/2024"/>
              <i n="[global_supply_chain_risk_2026].[Date].&amp;[2024-03-24T00:00:00]" c="3/24/2024"/>
              <i n="[global_supply_chain_risk_2026].[Date].&amp;[2024-03-25T00:00:00]" c="3/25/2024"/>
              <i n="[global_supply_chain_risk_2026].[Date].&amp;[2024-03-26T00:00:00]" c="3/26/2024"/>
              <i n="[global_supply_chain_risk_2026].[Date].&amp;[2024-03-27T00:00:00]" c="3/27/2024"/>
              <i n="[global_supply_chain_risk_2026].[Date].&amp;[2024-03-28T00:00:00]" c="3/28/2024"/>
              <i n="[global_supply_chain_risk_2026].[Date].&amp;[2024-03-29T00:00:00]" c="3/29/2024"/>
              <i n="[global_supply_chain_risk_2026].[Date].&amp;[2024-03-30T00:00:00]" c="3/30/2024"/>
              <i n="[global_supply_chain_risk_2026].[Date].&amp;[2024-03-31T00:00:00]" c="3/31/2024"/>
              <i n="[global_supply_chain_risk_2026].[Date].&amp;[2024-04-01T00:00:00]" c="4/1/2024"/>
              <i n="[global_supply_chain_risk_2026].[Date].&amp;[2024-04-02T00:00:00]" c="4/2/2024"/>
              <i n="[global_supply_chain_risk_2026].[Date].&amp;[2024-04-03T00:00:00]" c="4/3/2024"/>
              <i n="[global_supply_chain_risk_2026].[Date].&amp;[2024-04-04T00:00:00]" c="4/4/2024"/>
              <i n="[global_supply_chain_risk_2026].[Date].&amp;[2024-04-05T00:00:00]" c="4/5/2024"/>
              <i n="[global_supply_chain_risk_2026].[Date].&amp;[2024-04-06T00:00:00]" c="4/6/2024"/>
              <i n="[global_supply_chain_risk_2026].[Date].&amp;[2024-04-07T00:00:00]" c="4/7/2024"/>
              <i n="[global_supply_chain_risk_2026].[Date].&amp;[2024-04-08T00:00:00]" c="4/8/2024"/>
              <i n="[global_supply_chain_risk_2026].[Date].&amp;[2024-04-09T00:00:00]" c="4/9/2024"/>
              <i n="[global_supply_chain_risk_2026].[Date].&amp;[2024-04-10T00:00:00]" c="4/10/2024"/>
              <i n="[global_supply_chain_risk_2026].[Date].&amp;[2024-04-11T00:00:00]" c="4/11/2024"/>
              <i n="[global_supply_chain_risk_2026].[Date].&amp;[2024-04-12T00:00:00]" c="4/12/2024"/>
              <i n="[global_supply_chain_risk_2026].[Date].&amp;[2024-04-13T00:00:00]" c="4/13/2024"/>
              <i n="[global_supply_chain_risk_2026].[Date].&amp;[2024-04-14T00:00:00]" c="4/14/2024"/>
              <i n="[global_supply_chain_risk_2026].[Date].&amp;[2024-04-15T00:00:00]" c="4/15/2024"/>
              <i n="[global_supply_chain_risk_2026].[Date].&amp;[2024-04-16T00:00:00]" c="4/16/2024"/>
              <i n="[global_supply_chain_risk_2026].[Date].&amp;[2024-04-17T00:00:00]" c="4/17/2024"/>
              <i n="[global_supply_chain_risk_2026].[Date].&amp;[2024-04-18T00:00:00]" c="4/18/2024"/>
              <i n="[global_supply_chain_risk_2026].[Date].&amp;[2024-04-19T00:00:00]" c="4/19/2024"/>
              <i n="[global_supply_chain_risk_2026].[Date].&amp;[2024-04-20T00:00:00]" c="4/20/2024"/>
              <i n="[global_supply_chain_risk_2026].[Date].&amp;[2024-04-21T00:00:00]" c="4/21/2024"/>
              <i n="[global_supply_chain_risk_2026].[Date].&amp;[2024-04-22T00:00:00]" c="4/22/2024"/>
              <i n="[global_supply_chain_risk_2026].[Date].&amp;[2024-04-23T00:00:00]" c="4/23/2024"/>
              <i n="[global_supply_chain_risk_2026].[Date].&amp;[2024-04-24T00:00:00]" c="4/24/2024"/>
              <i n="[global_supply_chain_risk_2026].[Date].&amp;[2024-04-25T00:00:00]" c="4/25/2024"/>
              <i n="[global_supply_chain_risk_2026].[Date].&amp;[2024-04-26T00:00:00]" c="4/26/2024"/>
              <i n="[global_supply_chain_risk_2026].[Date].&amp;[2024-04-27T00:00:00]" c="4/27/2024"/>
              <i n="[global_supply_chain_risk_2026].[Date].&amp;[2024-04-28T00:00:00]" c="4/28/2024"/>
              <i n="[global_supply_chain_risk_2026].[Date].&amp;[2024-04-29T00:00:00]" c="4/29/2024"/>
              <i n="[global_supply_chain_risk_2026].[Date].&amp;[2024-04-30T00:00:00]" c="4/30/2024"/>
              <i n="[global_supply_chain_risk_2026].[Date].&amp;[2024-05-01T00:00:00]" c="5/1/2024"/>
              <i n="[global_supply_chain_risk_2026].[Date].&amp;[2024-05-02T00:00:00]" c="5/2/2024"/>
              <i n="[global_supply_chain_risk_2026].[Date].&amp;[2024-05-03T00:00:00]" c="5/3/2024"/>
              <i n="[global_supply_chain_risk_2026].[Date].&amp;[2024-05-04T00:00:00]" c="5/4/2024"/>
              <i n="[global_supply_chain_risk_2026].[Date].&amp;[2024-05-05T00:00:00]" c="5/5/2024"/>
              <i n="[global_supply_chain_risk_2026].[Date].&amp;[2024-05-06T00:00:00]" c="5/6/2024"/>
              <i n="[global_supply_chain_risk_2026].[Date].&amp;[2024-05-07T00:00:00]" c="5/7/2024"/>
              <i n="[global_supply_chain_risk_2026].[Date].&amp;[2024-05-08T00:00:00]" c="5/8/2024"/>
              <i n="[global_supply_chain_risk_2026].[Date].&amp;[2024-05-09T00:00:00]" c="5/9/2024"/>
              <i n="[global_supply_chain_risk_2026].[Date].&amp;[2024-05-10T00:00:00]" c="5/10/2024"/>
              <i n="[global_supply_chain_risk_2026].[Date].&amp;[2024-05-11T00:00:00]" c="5/11/2024"/>
              <i n="[global_supply_chain_risk_2026].[Date].&amp;[2024-05-12T00:00:00]" c="5/12/2024"/>
              <i n="[global_supply_chain_risk_2026].[Date].&amp;[2024-05-13T00:00:00]" c="5/13/2024"/>
              <i n="[global_supply_chain_risk_2026].[Date].&amp;[2024-05-14T00:00:00]" c="5/14/2024"/>
              <i n="[global_supply_chain_risk_2026].[Date].&amp;[2024-05-15T00:00:00]" c="5/15/2024"/>
              <i n="[global_supply_chain_risk_2026].[Date].&amp;[2024-05-16T00:00:00]" c="5/16/2024"/>
              <i n="[global_supply_chain_risk_2026].[Date].&amp;[2024-05-17T00:00:00]" c="5/17/2024"/>
              <i n="[global_supply_chain_risk_2026].[Date].&amp;[2024-05-18T00:00:00]" c="5/18/2024"/>
              <i n="[global_supply_chain_risk_2026].[Date].&amp;[2024-05-19T00:00:00]" c="5/19/2024"/>
              <i n="[global_supply_chain_risk_2026].[Date].&amp;[2024-05-20T00:00:00]" c="5/20/2024"/>
              <i n="[global_supply_chain_risk_2026].[Date].&amp;[2024-05-21T00:00:00]" c="5/21/2024"/>
              <i n="[global_supply_chain_risk_2026].[Date].&amp;[2024-05-22T00:00:00]" c="5/22/2024"/>
              <i n="[global_supply_chain_risk_2026].[Date].&amp;[2024-05-23T00:00:00]" c="5/23/2024"/>
              <i n="[global_supply_chain_risk_2026].[Date].&amp;[2024-05-24T00:00:00]" c="5/24/2024"/>
              <i n="[global_supply_chain_risk_2026].[Date].&amp;[2024-05-25T00:00:00]" c="5/25/2024"/>
              <i n="[global_supply_chain_risk_2026].[Date].&amp;[2024-05-26T00:00:00]" c="5/26/2024"/>
              <i n="[global_supply_chain_risk_2026].[Date].&amp;[2024-05-27T00:00:00]" c="5/27/2024"/>
              <i n="[global_supply_chain_risk_2026].[Date].&amp;[2024-05-28T00:00:00]" c="5/28/2024"/>
              <i n="[global_supply_chain_risk_2026].[Date].&amp;[2024-05-29T00:00:00]" c="5/29/2024"/>
              <i n="[global_supply_chain_risk_2026].[Date].&amp;[2024-05-30T00:00:00]" c="5/30/2024"/>
              <i n="[global_supply_chain_risk_2026].[Date].&amp;[2024-05-31T00:00:00]" c="5/31/2024"/>
              <i n="[global_supply_chain_risk_2026].[Date].&amp;[2024-06-01T00:00:00]" c="6/1/2024"/>
              <i n="[global_supply_chain_risk_2026].[Date].&amp;[2024-06-02T00:00:00]" c="6/2/2024"/>
              <i n="[global_supply_chain_risk_2026].[Date].&amp;[2024-06-03T00:00:00]" c="6/3/2024"/>
              <i n="[global_supply_chain_risk_2026].[Date].&amp;[2024-06-04T00:00:00]" c="6/4/2024"/>
              <i n="[global_supply_chain_risk_2026].[Date].&amp;[2024-06-05T00:00:00]" c="6/5/2024"/>
              <i n="[global_supply_chain_risk_2026].[Date].&amp;[2024-06-06T00:00:00]" c="6/6/2024"/>
              <i n="[global_supply_chain_risk_2026].[Date].&amp;[2024-06-07T00:00:00]" c="6/7/2024"/>
              <i n="[global_supply_chain_risk_2026].[Date].&amp;[2024-06-08T00:00:00]" c="6/8/2024"/>
              <i n="[global_supply_chain_risk_2026].[Date].&amp;[2024-06-09T00:00:00]" c="6/9/2024"/>
              <i n="[global_supply_chain_risk_2026].[Date].&amp;[2024-06-10T00:00:00]" c="6/10/2024"/>
              <i n="[global_supply_chain_risk_2026].[Date].&amp;[2024-06-11T00:00:00]" c="6/11/2024"/>
              <i n="[global_supply_chain_risk_2026].[Date].&amp;[2024-06-12T00:00:00]" c="6/12/2024"/>
              <i n="[global_supply_chain_risk_2026].[Date].&amp;[2024-06-13T00:00:00]" c="6/13/2024"/>
              <i n="[global_supply_chain_risk_2026].[Date].&amp;[2024-06-14T00:00:00]" c="6/14/2024"/>
              <i n="[global_supply_chain_risk_2026].[Date].&amp;[2024-06-15T00:00:00]" c="6/15/2024"/>
              <i n="[global_supply_chain_risk_2026].[Date].&amp;[2024-06-16T00:00:00]" c="6/16/2024"/>
              <i n="[global_supply_chain_risk_2026].[Date].&amp;[2024-06-17T00:00:00]" c="6/17/2024"/>
              <i n="[global_supply_chain_risk_2026].[Date].&amp;[2024-06-18T00:00:00]" c="6/18/2024"/>
              <i n="[global_supply_chain_risk_2026].[Date].&amp;[2024-06-19T00:00:00]" c="6/19/2024"/>
              <i n="[global_supply_chain_risk_2026].[Date].&amp;[2024-06-20T00:00:00]" c="6/20/2024"/>
              <i n="[global_supply_chain_risk_2026].[Date].&amp;[2024-06-21T00:00:00]" c="6/21/2024"/>
              <i n="[global_supply_chain_risk_2026].[Date].&amp;[2024-06-22T00:00:00]" c="6/22/2024"/>
              <i n="[global_supply_chain_risk_2026].[Date].&amp;[2024-06-23T00:00:00]" c="6/23/2024"/>
              <i n="[global_supply_chain_risk_2026].[Date].&amp;[2024-06-24T00:00:00]" c="6/24/2024"/>
              <i n="[global_supply_chain_risk_2026].[Date].&amp;[2024-06-25T00:00:00]" c="6/25/2024"/>
              <i n="[global_supply_chain_risk_2026].[Date].&amp;[2024-06-26T00:00:00]" c="6/26/2024"/>
              <i n="[global_supply_chain_risk_2026].[Date].&amp;[2024-06-27T00:00:00]" c="6/27/2024"/>
              <i n="[global_supply_chain_risk_2026].[Date].&amp;[2024-06-28T00:00:00]" c="6/28/2024"/>
              <i n="[global_supply_chain_risk_2026].[Date].&amp;[2024-06-29T00:00:00]" c="6/29/2024"/>
              <i n="[global_supply_chain_risk_2026].[Date].&amp;[2024-06-30T00:00:00]" c="6/30/2024"/>
              <i n="[global_supply_chain_risk_2026].[Date].&amp;[2024-07-01T00:00:00]" c="7/1/2024"/>
              <i n="[global_supply_chain_risk_2026].[Date].&amp;[2024-07-02T00:00:00]" c="7/2/2024"/>
              <i n="[global_supply_chain_risk_2026].[Date].&amp;[2024-07-03T00:00:00]" c="7/3/2024"/>
              <i n="[global_supply_chain_risk_2026].[Date].&amp;[2024-07-04T00:00:00]" c="7/4/2024"/>
              <i n="[global_supply_chain_risk_2026].[Date].&amp;[2024-07-05T00:00:00]" c="7/5/2024"/>
              <i n="[global_supply_chain_risk_2026].[Date].&amp;[2024-07-06T00:00:00]" c="7/6/2024"/>
              <i n="[global_supply_chain_risk_2026].[Date].&amp;[2024-07-07T00:00:00]" c="7/7/2024"/>
              <i n="[global_supply_chain_risk_2026].[Date].&amp;[2024-07-08T00:00:00]" c="7/8/2024"/>
              <i n="[global_supply_chain_risk_2026].[Date].&amp;[2024-07-09T00:00:00]" c="7/9/2024"/>
              <i n="[global_supply_chain_risk_2026].[Date].&amp;[2024-07-10T00:00:00]" c="7/10/2024"/>
              <i n="[global_supply_chain_risk_2026].[Date].&amp;[2024-07-11T00:00:00]" c="7/11/2024"/>
              <i n="[global_supply_chain_risk_2026].[Date].&amp;[2024-07-12T00:00:00]" c="7/12/2024"/>
              <i n="[global_supply_chain_risk_2026].[Date].&amp;[2024-07-13T00:00:00]" c="7/13/2024"/>
              <i n="[global_supply_chain_risk_2026].[Date].&amp;[2024-07-14T00:00:00]" c="7/14/2024"/>
              <i n="[global_supply_chain_risk_2026].[Date].&amp;[2024-07-15T00:00:00]" c="7/15/2024"/>
              <i n="[global_supply_chain_risk_2026].[Date].&amp;[2024-07-16T00:00:00]" c="7/16/2024"/>
              <i n="[global_supply_chain_risk_2026].[Date].&amp;[2024-07-17T00:00:00]" c="7/17/2024"/>
              <i n="[global_supply_chain_risk_2026].[Date].&amp;[2024-07-18T00:00:00]" c="7/18/2024"/>
              <i n="[global_supply_chain_risk_2026].[Date].&amp;[2024-07-19T00:00:00]" c="7/19/2024"/>
              <i n="[global_supply_chain_risk_2026].[Date].&amp;[2024-07-20T00:00:00]" c="7/20/2024"/>
              <i n="[global_supply_chain_risk_2026].[Date].&amp;[2024-07-21T00:00:00]" c="7/21/2024"/>
              <i n="[global_supply_chain_risk_2026].[Date].&amp;[2024-07-22T00:00:00]" c="7/22/2024"/>
              <i n="[global_supply_chain_risk_2026].[Date].&amp;[2024-07-23T00:00:00]" c="7/23/2024"/>
              <i n="[global_supply_chain_risk_2026].[Date].&amp;[2024-07-24T00:00:00]" c="7/24/2024"/>
              <i n="[global_supply_chain_risk_2026].[Date].&amp;[2024-07-25T00:00:00]" c="7/25/2024"/>
              <i n="[global_supply_chain_risk_2026].[Date].&amp;[2024-07-26T00:00:00]" c="7/26/2024"/>
              <i n="[global_supply_chain_risk_2026].[Date].&amp;[2024-07-27T00:00:00]" c="7/27/2024"/>
              <i n="[global_supply_chain_risk_2026].[Date].&amp;[2024-07-28T00:00:00]" c="7/28/2024"/>
              <i n="[global_supply_chain_risk_2026].[Date].&amp;[2024-07-29T00:00:00]" c="7/29/2024"/>
              <i n="[global_supply_chain_risk_2026].[Date].&amp;[2024-07-30T00:00:00]" c="7/30/2024"/>
              <i n="[global_supply_chain_risk_2026].[Date].&amp;[2024-07-31T00:00:00]" c="7/31/2024"/>
              <i n="[global_supply_chain_risk_2026].[Date].&amp;[2024-08-01T00:00:00]" c="8/1/2024"/>
              <i n="[global_supply_chain_risk_2026].[Date].&amp;[2024-08-02T00:00:00]" c="8/2/2024"/>
              <i n="[global_supply_chain_risk_2026].[Date].&amp;[2024-08-03T00:00:00]" c="8/3/2024"/>
              <i n="[global_supply_chain_risk_2026].[Date].&amp;[2024-08-04T00:00:00]" c="8/4/2024"/>
              <i n="[global_supply_chain_risk_2026].[Date].&amp;[2024-08-05T00:00:00]" c="8/5/2024"/>
              <i n="[global_supply_chain_risk_2026].[Date].&amp;[2024-08-06T00:00:00]" c="8/6/2024"/>
              <i n="[global_supply_chain_risk_2026].[Date].&amp;[2024-08-07T00:00:00]" c="8/7/2024"/>
              <i n="[global_supply_chain_risk_2026].[Date].&amp;[2024-08-08T00:00:00]" c="8/8/2024"/>
              <i n="[global_supply_chain_risk_2026].[Date].&amp;[2024-08-09T00:00:00]" c="8/9/2024"/>
              <i n="[global_supply_chain_risk_2026].[Date].&amp;[2024-08-10T00:00:00]" c="8/10/2024"/>
              <i n="[global_supply_chain_risk_2026].[Date].&amp;[2024-08-11T00:00:00]" c="8/11/2024"/>
              <i n="[global_supply_chain_risk_2026].[Date].&amp;[2024-08-12T00:00:00]" c="8/12/2024"/>
              <i n="[global_supply_chain_risk_2026].[Date].&amp;[2024-08-13T00:00:00]" c="8/13/2024"/>
              <i n="[global_supply_chain_risk_2026].[Date].&amp;[2024-08-14T00:00:00]" c="8/14/2024"/>
              <i n="[global_supply_chain_risk_2026].[Date].&amp;[2024-08-15T00:00:00]" c="8/15/2024"/>
              <i n="[global_supply_chain_risk_2026].[Date].&amp;[2024-08-16T00:00:00]" c="8/16/2024"/>
              <i n="[global_supply_chain_risk_2026].[Date].&amp;[2024-08-17T00:00:00]" c="8/17/2024"/>
              <i n="[global_supply_chain_risk_2026].[Date].&amp;[2024-08-18T00:00:00]" c="8/18/2024"/>
              <i n="[global_supply_chain_risk_2026].[Date].&amp;[2024-08-19T00:00:00]" c="8/19/2024"/>
              <i n="[global_supply_chain_risk_2026].[Date].&amp;[2024-08-20T00:00:00]" c="8/20/2024"/>
              <i n="[global_supply_chain_risk_2026].[Date].&amp;[2024-08-21T00:00:00]" c="8/21/2024"/>
              <i n="[global_supply_chain_risk_2026].[Date].&amp;[2024-08-22T00:00:00]" c="8/22/2024"/>
              <i n="[global_supply_chain_risk_2026].[Date].&amp;[2024-08-23T00:00:00]" c="8/23/2024"/>
              <i n="[global_supply_chain_risk_2026].[Date].&amp;[2024-08-24T00:00:00]" c="8/24/2024"/>
              <i n="[global_supply_chain_risk_2026].[Date].&amp;[2024-08-25T00:00:00]" c="8/25/2024"/>
              <i n="[global_supply_chain_risk_2026].[Date].&amp;[2024-08-26T00:00:00]" c="8/26/2024"/>
              <i n="[global_supply_chain_risk_2026].[Date].&amp;[2024-08-27T00:00:00]" c="8/27/2024"/>
              <i n="[global_supply_chain_risk_2026].[Date].&amp;[2024-08-28T00:00:00]" c="8/28/2024"/>
              <i n="[global_supply_chain_risk_2026].[Date].&amp;[2024-08-29T00:00:00]" c="8/29/2024"/>
              <i n="[global_supply_chain_risk_2026].[Date].&amp;[2024-08-30T00:00:00]" c="8/30/2024"/>
              <i n="[global_supply_chain_risk_2026].[Date].&amp;[2024-08-31T00:00:00]" c="8/31/2024"/>
              <i n="[global_supply_chain_risk_2026].[Date].&amp;[2024-09-01T00:00:00]" c="9/1/2024"/>
              <i n="[global_supply_chain_risk_2026].[Date].&amp;[2024-09-02T00:00:00]" c="9/2/2024"/>
              <i n="[global_supply_chain_risk_2026].[Date].&amp;[2024-09-03T00:00:00]" c="9/3/2024"/>
              <i n="[global_supply_chain_risk_2026].[Date].&amp;[2024-09-04T00:00:00]" c="9/4/2024"/>
              <i n="[global_supply_chain_risk_2026].[Date].&amp;[2024-09-05T00:00:00]" c="9/5/2024"/>
              <i n="[global_supply_chain_risk_2026].[Date].&amp;[2024-09-06T00:00:00]" c="9/6/2024"/>
              <i n="[global_supply_chain_risk_2026].[Date].&amp;[2024-09-07T00:00:00]" c="9/7/2024"/>
              <i n="[global_supply_chain_risk_2026].[Date].&amp;[2024-09-08T00:00:00]" c="9/8/2024"/>
              <i n="[global_supply_chain_risk_2026].[Date].&amp;[2024-09-09T00:00:00]" c="9/9/2024"/>
              <i n="[global_supply_chain_risk_2026].[Date].&amp;[2024-09-10T00:00:00]" c="9/10/2024"/>
              <i n="[global_supply_chain_risk_2026].[Date].&amp;[2024-09-11T00:00:00]" c="9/11/2024"/>
              <i n="[global_supply_chain_risk_2026].[Date].&amp;[2024-09-12T00:00:00]" c="9/12/2024"/>
              <i n="[global_supply_chain_risk_2026].[Date].&amp;[2024-09-13T00:00:00]" c="9/13/2024"/>
              <i n="[global_supply_chain_risk_2026].[Date].&amp;[2024-09-14T00:00:00]" c="9/14/2024"/>
              <i n="[global_supply_chain_risk_2026].[Date].&amp;[2024-09-15T00:00:00]" c="9/15/2024"/>
              <i n="[global_supply_chain_risk_2026].[Date].&amp;[2024-09-16T00:00:00]" c="9/16/2024"/>
              <i n="[global_supply_chain_risk_2026].[Date].&amp;[2024-09-17T00:00:00]" c="9/17/2024"/>
              <i n="[global_supply_chain_risk_2026].[Date].&amp;[2024-09-18T00:00:00]" c="9/18/2024"/>
              <i n="[global_supply_chain_risk_2026].[Date].&amp;[2024-09-19T00:00:00]" c="9/19/2024"/>
              <i n="[global_supply_chain_risk_2026].[Date].&amp;[2024-09-20T00:00:00]" c="9/20/2024"/>
              <i n="[global_supply_chain_risk_2026].[Date].&amp;[2024-09-21T00:00:00]" c="9/21/2024"/>
              <i n="[global_supply_chain_risk_2026].[Date].&amp;[2024-09-22T00:00:00]" c="9/22/2024"/>
              <i n="[global_supply_chain_risk_2026].[Date].&amp;[2024-09-23T00:00:00]" c="9/23/2024"/>
              <i n="[global_supply_chain_risk_2026].[Date].&amp;[2024-09-24T00:00:00]" c="9/24/2024"/>
              <i n="[global_supply_chain_risk_2026].[Date].&amp;[2024-09-25T00:00:00]" c="9/25/2024"/>
              <i n="[global_supply_chain_risk_2026].[Date].&amp;[2024-09-26T00:00:00]" c="9/26/2024"/>
              <i n="[global_supply_chain_risk_2026].[Date].&amp;[2024-09-27T00:00:00]" c="9/27/2024"/>
              <i n="[global_supply_chain_risk_2026].[Date].&amp;[2024-09-28T00:00:00]" c="9/28/2024"/>
              <i n="[global_supply_chain_risk_2026].[Date].&amp;[2024-09-29T00:00:00]" c="9/29/2024"/>
              <i n="[global_supply_chain_risk_2026].[Date].&amp;[2024-09-30T00:00:00]" c="9/30/2024"/>
              <i n="[global_supply_chain_risk_2026].[Date].&amp;[2024-10-01T00:00:00]" c="10/1/2024"/>
              <i n="[global_supply_chain_risk_2026].[Date].&amp;[2024-10-02T00:00:00]" c="10/2/2024"/>
              <i n="[global_supply_chain_risk_2026].[Date].&amp;[2024-10-03T00:00:00]" c="10/3/2024"/>
              <i n="[global_supply_chain_risk_2026].[Date].&amp;[2024-10-04T00:00:00]" c="10/4/2024"/>
              <i n="[global_supply_chain_risk_2026].[Date].&amp;[2024-10-05T00:00:00]" c="10/5/2024"/>
              <i n="[global_supply_chain_risk_2026].[Date].&amp;[2024-10-06T00:00:00]" c="10/6/2024"/>
              <i n="[global_supply_chain_risk_2026].[Date].&amp;[2024-10-07T00:00:00]" c="10/7/2024"/>
              <i n="[global_supply_chain_risk_2026].[Date].&amp;[2024-10-08T00:00:00]" c="10/8/2024"/>
              <i n="[global_supply_chain_risk_2026].[Date].&amp;[2024-10-09T00:00:00]" c="10/9/2024"/>
              <i n="[global_supply_chain_risk_2026].[Date].&amp;[2024-10-10T00:00:00]" c="10/10/2024"/>
              <i n="[global_supply_chain_risk_2026].[Date].&amp;[2024-10-11T00:00:00]" c="10/11/2024"/>
              <i n="[global_supply_chain_risk_2026].[Date].&amp;[2024-10-12T00:00:00]" c="10/12/2024"/>
              <i n="[global_supply_chain_risk_2026].[Date].&amp;[2024-10-13T00:00:00]" c="10/13/2024"/>
              <i n="[global_supply_chain_risk_2026].[Date].&amp;[2024-10-14T00:00:00]" c="10/14/2024"/>
              <i n="[global_supply_chain_risk_2026].[Date].&amp;[2024-10-15T00:00:00]" c="10/15/2024"/>
              <i n="[global_supply_chain_risk_2026].[Date].&amp;[2024-10-16T00:00:00]" c="10/16/2024"/>
              <i n="[global_supply_chain_risk_2026].[Date].&amp;[2024-10-17T00:00:00]" c="10/17/2024"/>
              <i n="[global_supply_chain_risk_2026].[Date].&amp;[2024-10-18T00:00:00]" c="10/18/2024"/>
              <i n="[global_supply_chain_risk_2026].[Date].&amp;[2024-10-19T00:00:00]" c="10/19/2024"/>
              <i n="[global_supply_chain_risk_2026].[Date].&amp;[2024-10-20T00:00:00]" c="10/20/2024"/>
              <i n="[global_supply_chain_risk_2026].[Date].&amp;[2024-10-21T00:00:00]" c="10/21/2024"/>
              <i n="[global_supply_chain_risk_2026].[Date].&amp;[2024-10-22T00:00:00]" c="10/22/2024"/>
              <i n="[global_supply_chain_risk_2026].[Date].&amp;[2024-10-23T00:00:00]" c="10/23/2024"/>
              <i n="[global_supply_chain_risk_2026].[Date].&amp;[2024-10-24T00:00:00]" c="10/24/2024"/>
              <i n="[global_supply_chain_risk_2026].[Date].&amp;[2024-10-25T00:00:00]" c="10/25/2024"/>
              <i n="[global_supply_chain_risk_2026].[Date].&amp;[2024-10-26T00:00:00]" c="10/26/2024"/>
              <i n="[global_supply_chain_risk_2026].[Date].&amp;[2024-10-27T00:00:00]" c="10/27/2024"/>
              <i n="[global_supply_chain_risk_2026].[Date].&amp;[2024-10-28T00:00:00]" c="10/28/2024"/>
              <i n="[global_supply_chain_risk_2026].[Date].&amp;[2024-10-29T00:00:00]" c="10/29/2024"/>
              <i n="[global_supply_chain_risk_2026].[Date].&amp;[2024-10-30T00:00:00]" c="10/30/2024"/>
              <i n="[global_supply_chain_risk_2026].[Date].&amp;[2024-10-31T00:00:00]" c="10/31/2024"/>
              <i n="[global_supply_chain_risk_2026].[Date].&amp;[2024-11-01T00:00:00]" c="11/1/2024"/>
              <i n="[global_supply_chain_risk_2026].[Date].&amp;[2024-11-02T00:00:00]" c="11/2/2024"/>
              <i n="[global_supply_chain_risk_2026].[Date].&amp;[2024-11-03T00:00:00]" c="11/3/2024"/>
              <i n="[global_supply_chain_risk_2026].[Date].&amp;[2024-11-04T00:00:00]" c="11/4/2024"/>
              <i n="[global_supply_chain_risk_2026].[Date].&amp;[2024-11-05T00:00:00]" c="11/5/2024"/>
              <i n="[global_supply_chain_risk_2026].[Date].&amp;[2024-11-06T00:00:00]" c="11/6/2024"/>
              <i n="[global_supply_chain_risk_2026].[Date].&amp;[2024-11-07T00:00:00]" c="11/7/2024"/>
              <i n="[global_supply_chain_risk_2026].[Date].&amp;[2024-11-08T00:00:00]" c="11/8/2024"/>
              <i n="[global_supply_chain_risk_2026].[Date].&amp;[2024-11-09T00:00:00]" c="11/9/2024"/>
              <i n="[global_supply_chain_risk_2026].[Date].&amp;[2024-11-10T00:00:00]" c="11/10/2024"/>
              <i n="[global_supply_chain_risk_2026].[Date].&amp;[2024-11-11T00:00:00]" c="11/11/2024"/>
              <i n="[global_supply_chain_risk_2026].[Date].&amp;[2024-11-12T00:00:00]" c="11/12/2024"/>
              <i n="[global_supply_chain_risk_2026].[Date].&amp;[2024-11-13T00:00:00]" c="11/13/2024"/>
              <i n="[global_supply_chain_risk_2026].[Date].&amp;[2024-11-14T00:00:00]" c="11/14/2024"/>
              <i n="[global_supply_chain_risk_2026].[Date].&amp;[2024-11-15T00:00:00]" c="11/15/2024"/>
              <i n="[global_supply_chain_risk_2026].[Date].&amp;[2024-11-16T00:00:00]" c="11/16/2024"/>
              <i n="[global_supply_chain_risk_2026].[Date].&amp;[2024-11-17T00:00:00]" c="11/17/2024"/>
              <i n="[global_supply_chain_risk_2026].[Date].&amp;[2024-11-18T00:00:00]" c="11/18/2024"/>
              <i n="[global_supply_chain_risk_2026].[Date].&amp;[2024-11-19T00:00:00]" c="11/19/2024"/>
              <i n="[global_supply_chain_risk_2026].[Date].&amp;[2024-11-20T00:00:00]" c="11/20/2024"/>
              <i n="[global_supply_chain_risk_2026].[Date].&amp;[2024-11-21T00:00:00]" c="11/21/2024"/>
              <i n="[global_supply_chain_risk_2026].[Date].&amp;[2024-11-22T00:00:00]" c="11/22/2024"/>
              <i n="[global_supply_chain_risk_2026].[Date].&amp;[2024-11-23T00:00:00]" c="11/23/2024"/>
              <i n="[global_supply_chain_risk_2026].[Date].&amp;[2024-11-24T00:00:00]" c="11/24/2024"/>
              <i n="[global_supply_chain_risk_2026].[Date].&amp;[2024-11-25T00:00:00]" c="11/25/2024"/>
              <i n="[global_supply_chain_risk_2026].[Date].&amp;[2024-11-26T00:00:00]" c="11/26/2024"/>
              <i n="[global_supply_chain_risk_2026].[Date].&amp;[2024-11-27T00:00:00]" c="11/27/2024"/>
              <i n="[global_supply_chain_risk_2026].[Date].&amp;[2024-11-28T00:00:00]" c="11/28/2024"/>
              <i n="[global_supply_chain_risk_2026].[Date].&amp;[2024-11-29T00:00:00]" c="11/29/2024"/>
              <i n="[global_supply_chain_risk_2026].[Date].&amp;[2024-11-30T00:00:00]" c="11/30/2024"/>
              <i n="[global_supply_chain_risk_2026].[Date].&amp;[2024-12-01T00:00:00]" c="12/1/2024"/>
              <i n="[global_supply_chain_risk_2026].[Date].&amp;[2024-12-02T00:00:00]" c="12/2/2024"/>
              <i n="[global_supply_chain_risk_2026].[Date].&amp;[2024-12-03T00:00:00]" c="12/3/2024"/>
              <i n="[global_supply_chain_risk_2026].[Date].&amp;[2024-12-04T00:00:00]" c="12/4/2024"/>
              <i n="[global_supply_chain_risk_2026].[Date].&amp;[2024-12-05T00:00:00]" c="12/5/2024"/>
              <i n="[global_supply_chain_risk_2026].[Date].&amp;[2024-12-06T00:00:00]" c="12/6/2024"/>
              <i n="[global_supply_chain_risk_2026].[Date].&amp;[2024-12-07T00:00:00]" c="12/7/2024"/>
              <i n="[global_supply_chain_risk_2026].[Date].&amp;[2024-12-08T00:00:00]" c="12/8/2024"/>
              <i n="[global_supply_chain_risk_2026].[Date].&amp;[2024-12-10T00:00:00]" c="12/10/2024"/>
              <i n="[global_supply_chain_risk_2026].[Date].&amp;[2024-12-11T00:00:00]" c="12/11/2024"/>
              <i n="[global_supply_chain_risk_2026].[Date].&amp;[2024-12-12T00:00:00]" c="12/12/2024"/>
              <i n="[global_supply_chain_risk_2026].[Date].&amp;[2024-12-13T00:00:00]" c="12/13/2024"/>
              <i n="[global_supply_chain_risk_2026].[Date].&amp;[2024-12-14T00:00:00]" c="12/14/2024"/>
              <i n="[global_supply_chain_risk_2026].[Date].&amp;[2024-12-15T00:00:00]" c="12/15/2024"/>
              <i n="[global_supply_chain_risk_2026].[Date].&amp;[2024-12-16T00:00:00]" c="12/16/2024"/>
              <i n="[global_supply_chain_risk_2026].[Date].&amp;[2024-12-17T00:00:00]" c="12/17/2024"/>
              <i n="[global_supply_chain_risk_2026].[Date].&amp;[2024-12-18T00:00:00]" c="12/18/2024"/>
              <i n="[global_supply_chain_risk_2026].[Date].&amp;[2024-12-19T00:00:00]" c="12/19/2024"/>
              <i n="[global_supply_chain_risk_2026].[Date].&amp;[2024-12-20T00:00:00]" c="12/20/2024"/>
              <i n="[global_supply_chain_risk_2026].[Date].&amp;[2024-12-21T00:00:00]" c="12/21/2024"/>
              <i n="[global_supply_chain_risk_2026].[Date].&amp;[2024-12-22T00:00:00]" c="12/22/2024"/>
              <i n="[global_supply_chain_risk_2026].[Date].&amp;[2024-12-23T00:00:00]" c="12/23/2024"/>
              <i n="[global_supply_chain_risk_2026].[Date].&amp;[2024-12-24T00:00:00]" c="12/24/2024"/>
              <i n="[global_supply_chain_risk_2026].[Date].&amp;[2024-12-25T00:00:00]" c="12/25/2024"/>
              <i n="[global_supply_chain_risk_2026].[Date].&amp;[2024-12-26T00:00:00]" c="12/26/2024"/>
              <i n="[global_supply_chain_risk_2026].[Date].&amp;[2024-12-27T00:00:00]" c="12/27/2024"/>
              <i n="[global_supply_chain_risk_2026].[Date].&amp;[2024-12-28T00:00:00]" c="12/28/2024"/>
              <i n="[global_supply_chain_risk_2026].[Date].&amp;[2024-12-29T00:00:00]" c="12/29/2024"/>
              <i n="[global_supply_chain_risk_2026].[Date].&amp;[2024-12-30T00:00:00]" c="12/30/2024"/>
              <i n="[global_supply_chain_risk_2026].[Date].&amp;[2024-12-31T00:00:00]" c="12/31/2024"/>
              <i n="[global_supply_chain_risk_2026].[Date].&amp;[2025-01-01T00:00:00]" c="1/1/2025"/>
              <i n="[global_supply_chain_risk_2026].[Date].&amp;[2025-01-02T00:00:00]" c="1/2/2025"/>
              <i n="[global_supply_chain_risk_2026].[Date].&amp;[2025-01-03T00:00:00]" c="1/3/2025"/>
              <i n="[global_supply_chain_risk_2026].[Date].&amp;[2025-01-04T00:00:00]" c="1/4/2025"/>
              <i n="[global_supply_chain_risk_2026].[Date].&amp;[2025-01-05T00:00:00]" c="1/5/2025"/>
              <i n="[global_supply_chain_risk_2026].[Date].&amp;[2025-01-06T00:00:00]" c="1/6/2025"/>
              <i n="[global_supply_chain_risk_2026].[Date].&amp;[2025-01-07T00:00:00]" c="1/7/2025"/>
              <i n="[global_supply_chain_risk_2026].[Date].&amp;[2025-01-08T00:00:00]" c="1/8/2025"/>
              <i n="[global_supply_chain_risk_2026].[Date].&amp;[2025-01-09T00:00:00]" c="1/9/2025"/>
              <i n="[global_supply_chain_risk_2026].[Date].&amp;[2025-01-10T00:00:00]" c="1/10/2025"/>
              <i n="[global_supply_chain_risk_2026].[Date].&amp;[2025-01-11T00:00:00]" c="1/11/2025"/>
              <i n="[global_supply_chain_risk_2026].[Date].&amp;[2025-01-12T00:00:00]" c="1/12/2025"/>
              <i n="[global_supply_chain_risk_2026].[Date].&amp;[2025-01-13T00:00:00]" c="1/13/2025"/>
              <i n="[global_supply_chain_risk_2026].[Date].&amp;[2025-01-14T00:00:00]" c="1/14/2025"/>
              <i n="[global_supply_chain_risk_2026].[Date].&amp;[2025-01-15T00:00:00]" c="1/15/2025"/>
              <i n="[global_supply_chain_risk_2026].[Date].&amp;[2025-01-16T00:00:00]" c="1/16/2025"/>
              <i n="[global_supply_chain_risk_2026].[Date].&amp;[2025-01-17T00:00:00]" c="1/17/2025"/>
              <i n="[global_supply_chain_risk_2026].[Date].&amp;[2025-01-18T00:00:00]" c="1/18/2025"/>
              <i n="[global_supply_chain_risk_2026].[Date].&amp;[2025-01-19T00:00:00]" c="1/19/2025"/>
              <i n="[global_supply_chain_risk_2026].[Date].&amp;[2025-01-20T00:00:00]" c="1/20/2025"/>
              <i n="[global_supply_chain_risk_2026].[Date].&amp;[2025-01-21T00:00:00]" c="1/21/2025"/>
              <i n="[global_supply_chain_risk_2026].[Date].&amp;[2025-01-22T00:00:00]" c="1/22/2025"/>
              <i n="[global_supply_chain_risk_2026].[Date].&amp;[2025-01-23T00:00:00]" c="1/23/2025"/>
              <i n="[global_supply_chain_risk_2026].[Date].&amp;[2025-01-24T00:00:00]" c="1/24/2025"/>
              <i n="[global_supply_chain_risk_2026].[Date].&amp;[2025-01-25T00:00:00]" c="1/25/2025"/>
              <i n="[global_supply_chain_risk_2026].[Date].&amp;[2025-01-26T00:00:00]" c="1/26/2025"/>
              <i n="[global_supply_chain_risk_2026].[Date].&amp;[2025-01-27T00:00:00]" c="1/27/2025"/>
              <i n="[global_supply_chain_risk_2026].[Date].&amp;[2025-01-28T00:00:00]" c="1/28/2025"/>
              <i n="[global_supply_chain_risk_2026].[Date].&amp;[2025-01-29T00:00:00]" c="1/29/2025"/>
              <i n="[global_supply_chain_risk_2026].[Date].&amp;[2025-01-30T00:00:00]" c="1/30/2025"/>
              <i n="[global_supply_chain_risk_2026].[Date].&amp;[2025-01-31T00:00:00]" c="1/31/2025"/>
              <i n="[global_supply_chain_risk_2026].[Date].&amp;[2025-02-01T00:00:00]" c="2/1/2025"/>
              <i n="[global_supply_chain_risk_2026].[Date].&amp;[2025-02-02T00:00:00]" c="2/2/2025"/>
              <i n="[global_supply_chain_risk_2026].[Date].&amp;[2025-02-03T00:00:00]" c="2/3/2025"/>
              <i n="[global_supply_chain_risk_2026].[Date].&amp;[2025-02-04T00:00:00]" c="2/4/2025"/>
              <i n="[global_supply_chain_risk_2026].[Date].&amp;[2025-02-05T00:00:00]" c="2/5/2025"/>
              <i n="[global_supply_chain_risk_2026].[Date].&amp;[2025-02-06T00:00:00]" c="2/6/2025"/>
              <i n="[global_supply_chain_risk_2026].[Date].&amp;[2025-02-07T00:00:00]" c="2/7/2025"/>
              <i n="[global_supply_chain_risk_2026].[Date].&amp;[2025-02-08T00:00:00]" c="2/8/2025"/>
              <i n="[global_supply_chain_risk_2026].[Date].&amp;[2025-02-09T00:00:00]" c="2/9/2025"/>
              <i n="[global_supply_chain_risk_2026].[Date].&amp;[2025-02-10T00:00:00]" c="2/10/2025"/>
              <i n="[global_supply_chain_risk_2026].[Date].&amp;[2025-02-11T00:00:00]" c="2/11/2025"/>
              <i n="[global_supply_chain_risk_2026].[Date].&amp;[2025-02-12T00:00:00]" c="2/12/2025"/>
              <i n="[global_supply_chain_risk_2026].[Date].&amp;[2025-02-13T00:00:00]" c="2/13/2025"/>
              <i n="[global_supply_chain_risk_2026].[Date].&amp;[2025-02-14T00:00:00]" c="2/14/2025"/>
              <i n="[global_supply_chain_risk_2026].[Date].&amp;[2025-02-15T00:00:00]" c="2/15/2025"/>
              <i n="[global_supply_chain_risk_2026].[Date].&amp;[2025-02-16T00:00:00]" c="2/16/2025"/>
              <i n="[global_supply_chain_risk_2026].[Date].&amp;[2025-02-17T00:00:00]" c="2/17/2025"/>
              <i n="[global_supply_chain_risk_2026].[Date].&amp;[2025-02-18T00:00:00]" c="2/18/2025"/>
              <i n="[global_supply_chain_risk_2026].[Date].&amp;[2025-02-19T00:00:00]" c="2/19/2025"/>
              <i n="[global_supply_chain_risk_2026].[Date].&amp;[2025-02-20T00:00:00]" c="2/20/2025"/>
              <i n="[global_supply_chain_risk_2026].[Date].&amp;[2025-02-21T00:00:00]" c="2/21/2025"/>
              <i n="[global_supply_chain_risk_2026].[Date].&amp;[2025-02-22T00:00:00]" c="2/22/2025"/>
              <i n="[global_supply_chain_risk_2026].[Date].&amp;[2025-02-23T00:00:00]" c="2/23/2025"/>
              <i n="[global_supply_chain_risk_2026].[Date].&amp;[2025-02-24T00:00:00]" c="2/24/2025"/>
              <i n="[global_supply_chain_risk_2026].[Date].&amp;[2025-02-25T00:00:00]" c="2/25/2025"/>
              <i n="[global_supply_chain_risk_2026].[Date].&amp;[2025-02-26T00:00:00]" c="2/26/2025"/>
              <i n="[global_supply_chain_risk_2026].[Date].&amp;[2025-02-27T00:00:00]" c="2/27/2025"/>
              <i n="[global_supply_chain_risk_2026].[Date].&amp;[2025-02-28T00:00:00]" c="2/28/2025"/>
              <i n="[global_supply_chain_risk_2026].[Date].&amp;[2025-03-01T00:00:00]" c="3/1/2025"/>
              <i n="[global_supply_chain_risk_2026].[Date].&amp;[2025-03-02T00:00:00]" c="3/2/2025"/>
              <i n="[global_supply_chain_risk_2026].[Date].&amp;[2025-03-03T00:00:00]" c="3/3/2025"/>
              <i n="[global_supply_chain_risk_2026].[Date].&amp;[2025-03-04T00:00:00]" c="3/4/2025"/>
              <i n="[global_supply_chain_risk_2026].[Date].&amp;[2025-03-05T00:00:00]" c="3/5/2025"/>
              <i n="[global_supply_chain_risk_2026].[Date].&amp;[2025-03-06T00:00:00]" c="3/6/2025"/>
              <i n="[global_supply_chain_risk_2026].[Date].&amp;[2025-03-07T00:00:00]" c="3/7/2025"/>
              <i n="[global_supply_chain_risk_2026].[Date].&amp;[2025-03-08T00:00:00]" c="3/8/2025"/>
              <i n="[global_supply_chain_risk_2026].[Date].&amp;[2025-03-09T00:00:00]" c="3/9/2025"/>
              <i n="[global_supply_chain_risk_2026].[Date].&amp;[2025-03-10T00:00:00]" c="3/10/2025"/>
              <i n="[global_supply_chain_risk_2026].[Date].&amp;[2025-03-11T00:00:00]" c="3/11/2025"/>
              <i n="[global_supply_chain_risk_2026].[Date].&amp;[2025-03-12T00:00:00]" c="3/12/2025"/>
              <i n="[global_supply_chain_risk_2026].[Date].&amp;[2025-03-13T00:00:00]" c="3/13/2025"/>
              <i n="[global_supply_chain_risk_2026].[Date].&amp;[2025-03-14T00:00:00]" c="3/14/2025"/>
              <i n="[global_supply_chain_risk_2026].[Date].&amp;[2025-03-15T00:00:00]" c="3/15/2025"/>
              <i n="[global_supply_chain_risk_2026].[Date].&amp;[2025-03-16T00:00:00]" c="3/16/2025"/>
              <i n="[global_supply_chain_risk_2026].[Date].&amp;[2025-03-17T00:00:00]" c="3/17/2025"/>
              <i n="[global_supply_chain_risk_2026].[Date].&amp;[2025-03-18T00:00:00]" c="3/18/2025"/>
              <i n="[global_supply_chain_risk_2026].[Date].&amp;[2025-03-19T00:00:00]" c="3/19/2025"/>
              <i n="[global_supply_chain_risk_2026].[Date].&amp;[2025-03-20T00:00:00]" c="3/20/2025"/>
              <i n="[global_supply_chain_risk_2026].[Date].&amp;[2025-03-21T00:00:00]" c="3/21/2025"/>
              <i n="[global_supply_chain_risk_2026].[Date].&amp;[2025-03-22T00:00:00]" c="3/22/2025"/>
              <i n="[global_supply_chain_risk_2026].[Date].&amp;[2025-03-23T00:00:00]" c="3/23/2025"/>
              <i n="[global_supply_chain_risk_2026].[Date].&amp;[2025-03-24T00:00:00]" c="3/24/2025"/>
              <i n="[global_supply_chain_risk_2026].[Date].&amp;[2025-03-25T00:00:00]" c="3/25/2025"/>
              <i n="[global_supply_chain_risk_2026].[Date].&amp;[2025-03-26T00:00:00]" c="3/26/2025"/>
              <i n="[global_supply_chain_risk_2026].[Date].&amp;[2025-03-27T00:00:00]" c="3/27/2025"/>
              <i n="[global_supply_chain_risk_2026].[Date].&amp;[2025-03-28T00:00:00]" c="3/28/2025"/>
              <i n="[global_supply_chain_risk_2026].[Date].&amp;[2025-03-29T00:00:00]" c="3/29/2025"/>
              <i n="[global_supply_chain_risk_2026].[Date].&amp;[2025-03-30T00:00:00]" c="3/30/2025"/>
              <i n="[global_supply_chain_risk_2026].[Date].&amp;[2025-03-31T00:00:00]" c="3/31/2025"/>
              <i n="[global_supply_chain_risk_2026].[Date].&amp;[2025-04-01T00:00:00]" c="4/1/2025"/>
              <i n="[global_supply_chain_risk_2026].[Date].&amp;[2025-04-02T00:00:00]" c="4/2/2025"/>
              <i n="[global_supply_chain_risk_2026].[Date].&amp;[2025-04-03T00:00:00]" c="4/3/2025"/>
              <i n="[global_supply_chain_risk_2026].[Date].&amp;[2025-04-04T00:00:00]" c="4/4/2025"/>
              <i n="[global_supply_chain_risk_2026].[Date].&amp;[2025-04-05T00:00:00]" c="4/5/2025"/>
              <i n="[global_supply_chain_risk_2026].[Date].&amp;[2025-04-06T00:00:00]" c="4/6/2025"/>
              <i n="[global_supply_chain_risk_2026].[Date].&amp;[2025-04-07T00:00:00]" c="4/7/2025"/>
              <i n="[global_supply_chain_risk_2026].[Date].&amp;[2025-04-09T00:00:00]" c="4/9/2025"/>
              <i n="[global_supply_chain_risk_2026].[Date].&amp;[2025-04-10T00:00:00]" c="4/10/2025"/>
              <i n="[global_supply_chain_risk_2026].[Date].&amp;[2025-04-11T00:00:00]" c="4/11/2025"/>
              <i n="[global_supply_chain_risk_2026].[Date].&amp;[2025-04-12T00:00:00]" c="4/12/2025"/>
              <i n="[global_supply_chain_risk_2026].[Date].&amp;[2025-04-13T00:00:00]" c="4/13/2025"/>
              <i n="[global_supply_chain_risk_2026].[Date].&amp;[2025-04-14T00:00:00]" c="4/14/2025"/>
              <i n="[global_supply_chain_risk_2026].[Date].&amp;[2025-04-15T00:00:00]" c="4/15/2025"/>
              <i n="[global_supply_chain_risk_2026].[Date].&amp;[2025-04-16T00:00:00]" c="4/16/2025"/>
              <i n="[global_supply_chain_risk_2026].[Date].&amp;[2025-04-17T00:00:00]" c="4/17/2025"/>
              <i n="[global_supply_chain_risk_2026].[Date].&amp;[2025-04-18T00:00:00]" c="4/18/2025"/>
              <i n="[global_supply_chain_risk_2026].[Date].&amp;[2025-04-19T00:00:00]" c="4/19/2025"/>
              <i n="[global_supply_chain_risk_2026].[Date].&amp;[2025-04-20T00:00:00]" c="4/20/2025"/>
              <i n="[global_supply_chain_risk_2026].[Date].&amp;[2025-04-21T00:00:00]" c="4/21/2025"/>
              <i n="[global_supply_chain_risk_2026].[Date].&amp;[2025-04-22T00:00:00]" c="4/22/2025"/>
              <i n="[global_supply_chain_risk_2026].[Date].&amp;[2025-04-23T00:00:00]" c="4/23/2025"/>
              <i n="[global_supply_chain_risk_2026].[Date].&amp;[2025-04-24T00:00:00]" c="4/24/2025"/>
              <i n="[global_supply_chain_risk_2026].[Date].&amp;[2025-04-25T00:00:00]" c="4/25/2025"/>
              <i n="[global_supply_chain_risk_2026].[Date].&amp;[2025-04-26T00:00:00]" c="4/26/2025"/>
              <i n="[global_supply_chain_risk_2026].[Date].&amp;[2025-04-27T00:00:00]" c="4/27/2025"/>
              <i n="[global_supply_chain_risk_2026].[Date].&amp;[2025-04-28T00:00:00]" c="4/28/2025"/>
              <i n="[global_supply_chain_risk_2026].[Date].&amp;[2025-04-29T00:00:00]" c="4/29/2025"/>
              <i n="[global_supply_chain_risk_2026].[Date].&amp;[2025-04-30T00:00:00]" c="4/30/2025"/>
              <i n="[global_supply_chain_risk_2026].[Date].&amp;[2025-05-01T00:00:00]" c="5/1/2025"/>
              <i n="[global_supply_chain_risk_2026].[Date].&amp;[2025-05-02T00:00:00]" c="5/2/2025"/>
              <i n="[global_supply_chain_risk_2026].[Date].&amp;[2025-05-03T00:00:00]" c="5/3/2025"/>
              <i n="[global_supply_chain_risk_2026].[Date].&amp;[2025-05-04T00:00:00]" c="5/4/2025"/>
              <i n="[global_supply_chain_risk_2026].[Date].&amp;[2025-05-05T00:00:00]" c="5/5/2025"/>
              <i n="[global_supply_chain_risk_2026].[Date].&amp;[2025-05-06T00:00:00]" c="5/6/2025"/>
              <i n="[global_supply_chain_risk_2026].[Date].&amp;[2025-05-07T00:00:00]" c="5/7/2025"/>
              <i n="[global_supply_chain_risk_2026].[Date].&amp;[2025-05-08T00:00:00]" c="5/8/2025"/>
              <i n="[global_supply_chain_risk_2026].[Date].&amp;[2025-05-09T00:00:00]" c="5/9/2025"/>
              <i n="[global_supply_chain_risk_2026].[Date].&amp;[2025-05-10T00:00:00]" c="5/10/2025"/>
              <i n="[global_supply_chain_risk_2026].[Date].&amp;[2025-05-11T00:00:00]" c="5/11/2025"/>
              <i n="[global_supply_chain_risk_2026].[Date].&amp;[2025-05-12T00:00:00]" c="5/12/2025"/>
              <i n="[global_supply_chain_risk_2026].[Date].&amp;[2025-05-13T00:00:00]" c="5/13/2025"/>
              <i n="[global_supply_chain_risk_2026].[Date].&amp;[2025-05-14T00:00:00]" c="5/14/2025"/>
              <i n="[global_supply_chain_risk_2026].[Date].&amp;[2025-05-15T00:00:00]" c="5/15/2025"/>
              <i n="[global_supply_chain_risk_2026].[Date].&amp;[2025-05-16T00:00:00]" c="5/16/2025"/>
              <i n="[global_supply_chain_risk_2026].[Date].&amp;[2025-05-17T00:00:00]" c="5/17/2025"/>
              <i n="[global_supply_chain_risk_2026].[Date].&amp;[2025-05-18T00:00:00]" c="5/18/2025"/>
              <i n="[global_supply_chain_risk_2026].[Date].&amp;[2025-05-19T00:00:00]" c="5/19/2025"/>
              <i n="[global_supply_chain_risk_2026].[Date].&amp;[2025-05-20T00:00:00]" c="5/20/2025"/>
              <i n="[global_supply_chain_risk_2026].[Date].&amp;[2025-05-21T00:00:00]" c="5/21/2025"/>
              <i n="[global_supply_chain_risk_2026].[Date].&amp;[2025-05-22T00:00:00]" c="5/22/2025"/>
              <i n="[global_supply_chain_risk_2026].[Date].&amp;[2025-05-23T00:00:00]" c="5/23/2025"/>
              <i n="[global_supply_chain_risk_2026].[Date].&amp;[2025-05-24T00:00:00]" c="5/24/2025"/>
              <i n="[global_supply_chain_risk_2026].[Date].&amp;[2025-05-25T00:00:00]" c="5/25/2025"/>
              <i n="[global_supply_chain_risk_2026].[Date].&amp;[2025-05-26T00:00:00]" c="5/26/2025"/>
              <i n="[global_supply_chain_risk_2026].[Date].&amp;[2025-05-27T00:00:00]" c="5/27/2025"/>
              <i n="[global_supply_chain_risk_2026].[Date].&amp;[2025-05-28T00:00:00]" c="5/28/2025"/>
              <i n="[global_supply_chain_risk_2026].[Date].&amp;[2025-05-29T00:00:00]" c="5/29/2025"/>
              <i n="[global_supply_chain_risk_2026].[Date].&amp;[2025-05-30T00:00:00]" c="5/30/2025"/>
              <i n="[global_supply_chain_risk_2026].[Date].&amp;[2025-05-31T00:00:00]" c="5/31/2025"/>
              <i n="[global_supply_chain_risk_2026].[Date].&amp;[2025-06-01T00:00:00]" c="6/1/2025"/>
              <i n="[global_supply_chain_risk_2026].[Date].&amp;[2025-06-02T00:00:00]" c="6/2/2025"/>
              <i n="[global_supply_chain_risk_2026].[Date].&amp;[2025-06-03T00:00:00]" c="6/3/2025"/>
              <i n="[global_supply_chain_risk_2026].[Date].&amp;[2025-06-04T00:00:00]" c="6/4/2025"/>
              <i n="[global_supply_chain_risk_2026].[Date].&amp;[2025-06-05T00:00:00]" c="6/5/2025"/>
              <i n="[global_supply_chain_risk_2026].[Date].&amp;[2025-06-06T00:00:00]" c="6/6/2025"/>
              <i n="[global_supply_chain_risk_2026].[Date].&amp;[2025-06-07T00:00:00]" c="6/7/2025"/>
              <i n="[global_supply_chain_risk_2026].[Date].&amp;[2025-06-09T00:00:00]" c="6/9/2025"/>
              <i n="[global_supply_chain_risk_2026].[Date].&amp;[2025-06-10T00:00:00]" c="6/10/2025"/>
              <i n="[global_supply_chain_risk_2026].[Date].&amp;[2025-06-11T00:00:00]" c="6/11/2025"/>
              <i n="[global_supply_chain_risk_2026].[Date].&amp;[2025-06-12T00:00:00]" c="6/12/2025"/>
              <i n="[global_supply_chain_risk_2026].[Date].&amp;[2025-06-13T00:00:00]" c="6/13/2025"/>
              <i n="[global_supply_chain_risk_2026].[Date].&amp;[2025-06-14T00:00:00]" c="6/14/2025"/>
              <i n="[global_supply_chain_risk_2026].[Date].&amp;[2025-06-15T00:00:00]" c="6/15/2025"/>
              <i n="[global_supply_chain_risk_2026].[Date].&amp;[2025-06-16T00:00:00]" c="6/16/2025"/>
              <i n="[global_supply_chain_risk_2026].[Date].&amp;[2025-06-17T00:00:00]" c="6/17/2025"/>
              <i n="[global_supply_chain_risk_2026].[Date].&amp;[2025-06-18T00:00:00]" c="6/18/2025"/>
              <i n="[global_supply_chain_risk_2026].[Date].&amp;[2025-06-19T00:00:00]" c="6/19/2025"/>
              <i n="[global_supply_chain_risk_2026].[Date].&amp;[2025-06-20T00:00:00]" c="6/20/2025"/>
              <i n="[global_supply_chain_risk_2026].[Date].&amp;[2025-06-21T00:00:00]" c="6/21/2025"/>
              <i n="[global_supply_chain_risk_2026].[Date].&amp;[2025-06-22T00:00:00]" c="6/22/2025"/>
              <i n="[global_supply_chain_risk_2026].[Date].&amp;[2025-06-23T00:00:00]" c="6/23/2025"/>
              <i n="[global_supply_chain_risk_2026].[Date].&amp;[2025-06-24T00:00:00]" c="6/24/2025"/>
              <i n="[global_supply_chain_risk_2026].[Date].&amp;[2025-06-25T00:00:00]" c="6/25/2025"/>
              <i n="[global_supply_chain_risk_2026].[Date].&amp;[2025-06-26T00:00:00]" c="6/26/2025"/>
              <i n="[global_supply_chain_risk_2026].[Date].&amp;[2025-06-27T00:00:00]" c="6/27/2025"/>
              <i n="[global_supply_chain_risk_2026].[Date].&amp;[2025-06-29T00:00:00]" c="6/29/2025"/>
              <i n="[global_supply_chain_risk_2026].[Date].&amp;[2025-06-30T00:00:00]" c="6/30/2025"/>
              <i n="[global_supply_chain_risk_2026].[Date].&amp;[2025-07-01T00:00:00]" c="7/1/2025"/>
              <i n="[global_supply_chain_risk_2026].[Date].&amp;[2025-07-02T00:00:00]" c="7/2/2025"/>
              <i n="[global_supply_chain_risk_2026].[Date].&amp;[2025-07-03T00:00:00]" c="7/3/2025"/>
              <i n="[global_supply_chain_risk_2026].[Date].&amp;[2025-07-04T00:00:00]" c="7/4/2025"/>
              <i n="[global_supply_chain_risk_2026].[Date].&amp;[2025-07-05T00:00:00]" c="7/5/2025"/>
              <i n="[global_supply_chain_risk_2026].[Date].&amp;[2025-07-06T00:00:00]" c="7/6/2025"/>
              <i n="[global_supply_chain_risk_2026].[Date].&amp;[2025-07-07T00:00:00]" c="7/7/2025"/>
              <i n="[global_supply_chain_risk_2026].[Date].&amp;[2025-07-08T00:00:00]" c="7/8/2025"/>
              <i n="[global_supply_chain_risk_2026].[Date].&amp;[2025-07-09T00:00:00]" c="7/9/2025"/>
              <i n="[global_supply_chain_risk_2026].[Date].&amp;[2025-07-10T00:00:00]" c="7/10/2025"/>
              <i n="[global_supply_chain_risk_2026].[Date].&amp;[2025-07-11T00:00:00]" c="7/11/2025"/>
              <i n="[global_supply_chain_risk_2026].[Date].&amp;[2025-07-12T00:00:00]" c="7/12/2025"/>
              <i n="[global_supply_chain_risk_2026].[Date].&amp;[2025-07-13T00:00:00]" c="7/13/2025"/>
              <i n="[global_supply_chain_risk_2026].[Date].&amp;[2025-07-14T00:00:00]" c="7/14/2025"/>
              <i n="[global_supply_chain_risk_2026].[Date].&amp;[2025-07-15T00:00:00]" c="7/15/2025"/>
              <i n="[global_supply_chain_risk_2026].[Date].&amp;[2025-07-16T00:00:00]" c="7/16/2025"/>
              <i n="[global_supply_chain_risk_2026].[Date].&amp;[2025-07-17T00:00:00]" c="7/17/2025"/>
              <i n="[global_supply_chain_risk_2026].[Date].&amp;[2025-07-18T00:00:00]" c="7/18/2025"/>
              <i n="[global_supply_chain_risk_2026].[Date].&amp;[2025-07-19T00:00:00]" c="7/19/2025"/>
              <i n="[global_supply_chain_risk_2026].[Date].&amp;[2025-07-20T00:00:00]" c="7/20/2025"/>
              <i n="[global_supply_chain_risk_2026].[Date].&amp;[2025-07-21T00:00:00]" c="7/21/2025"/>
              <i n="[global_supply_chain_risk_2026].[Date].&amp;[2025-07-22T00:00:00]" c="7/22/2025"/>
              <i n="[global_supply_chain_risk_2026].[Date].&amp;[2025-07-23T00:00:00]" c="7/23/2025"/>
              <i n="[global_supply_chain_risk_2026].[Date].&amp;[2025-07-24T00:00:00]" c="7/24/2025"/>
              <i n="[global_supply_chain_risk_2026].[Date].&amp;[2025-07-25T00:00:00]" c="7/25/2025"/>
              <i n="[global_supply_chain_risk_2026].[Date].&amp;[2025-07-26T00:00:00]" c="7/26/2025"/>
              <i n="[global_supply_chain_risk_2026].[Date].&amp;[2025-07-27T00:00:00]" c="7/27/2025"/>
              <i n="[global_supply_chain_risk_2026].[Date].&amp;[2025-07-28T00:00:00]" c="7/28/2025"/>
              <i n="[global_supply_chain_risk_2026].[Date].&amp;[2025-07-29T00:00:00]" c="7/29/2025"/>
              <i n="[global_supply_chain_risk_2026].[Date].&amp;[2025-07-30T00:00:00]" c="7/30/2025"/>
              <i n="[global_supply_chain_risk_2026].[Date].&amp;[2025-07-31T00:00:00]" c="7/31/2025"/>
              <i n="[global_supply_chain_risk_2026].[Date].&amp;[2025-08-01T00:00:00]" c="8/1/2025"/>
              <i n="[global_supply_chain_risk_2026].[Date].&amp;[2025-08-02T00:00:00]" c="8/2/2025"/>
              <i n="[global_supply_chain_risk_2026].[Date].&amp;[2025-08-03T00:00:00]" c="8/3/2025"/>
              <i n="[global_supply_chain_risk_2026].[Date].&amp;[2025-08-04T00:00:00]" c="8/4/2025"/>
              <i n="[global_supply_chain_risk_2026].[Date].&amp;[2025-08-05T00:00:00]" c="8/5/2025"/>
              <i n="[global_supply_chain_risk_2026].[Date].&amp;[2025-08-06T00:00:00]" c="8/6/2025"/>
              <i n="[global_supply_chain_risk_2026].[Date].&amp;[2025-08-07T00:00:00]" c="8/7/2025"/>
              <i n="[global_supply_chain_risk_2026].[Date].&amp;[2025-08-08T00:00:00]" c="8/8/2025"/>
              <i n="[global_supply_chain_risk_2026].[Date].&amp;[2025-08-09T00:00:00]" c="8/9/2025"/>
              <i n="[global_supply_chain_risk_2026].[Date].&amp;[2025-08-10T00:00:00]" c="8/10/2025"/>
              <i n="[global_supply_chain_risk_2026].[Date].&amp;[2025-08-11T00:00:00]" c="8/11/2025"/>
              <i n="[global_supply_chain_risk_2026].[Date].&amp;[2025-08-12T00:00:00]" c="8/12/2025"/>
              <i n="[global_supply_chain_risk_2026].[Date].&amp;[2025-08-13T00:00:00]" c="8/13/2025"/>
              <i n="[global_supply_chain_risk_2026].[Date].&amp;[2025-08-14T00:00:00]" c="8/14/2025"/>
              <i n="[global_supply_chain_risk_2026].[Date].&amp;[2025-08-15T00:00:00]" c="8/15/2025"/>
              <i n="[global_supply_chain_risk_2026].[Date].&amp;[2025-08-16T00:00:00]" c="8/16/2025"/>
              <i n="[global_supply_chain_risk_2026].[Date].&amp;[2025-08-17T00:00:00]" c="8/17/2025"/>
              <i n="[global_supply_chain_risk_2026].[Date].&amp;[2025-08-18T00:00:00]" c="8/18/2025"/>
              <i n="[global_supply_chain_risk_2026].[Date].&amp;[2025-08-19T00:00:00]" c="8/19/2025"/>
              <i n="[global_supply_chain_risk_2026].[Date].&amp;[2025-08-20T00:00:00]" c="8/20/2025"/>
              <i n="[global_supply_chain_risk_2026].[Date].&amp;[2025-08-21T00:00:00]" c="8/21/2025"/>
              <i n="[global_supply_chain_risk_2026].[Date].&amp;[2025-08-22T00:00:00]" c="8/22/2025"/>
              <i n="[global_supply_chain_risk_2026].[Date].&amp;[2025-08-23T00:00:00]" c="8/23/2025"/>
              <i n="[global_supply_chain_risk_2026].[Date].&amp;[2025-08-24T00:00:00]" c="8/24/2025"/>
              <i n="[global_supply_chain_risk_2026].[Date].&amp;[2025-08-25T00:00:00]" c="8/25/2025"/>
              <i n="[global_supply_chain_risk_2026].[Date].&amp;[2025-08-26T00:00:00]" c="8/26/2025"/>
              <i n="[global_supply_chain_risk_2026].[Date].&amp;[2025-08-27T00:00:00]" c="8/27/2025"/>
              <i n="[global_supply_chain_risk_2026].[Date].&amp;[2025-08-28T00:00:00]" c="8/28/2025"/>
              <i n="[global_supply_chain_risk_2026].[Date].&amp;[2025-08-29T00:00:00]" c="8/29/2025"/>
              <i n="[global_supply_chain_risk_2026].[Date].&amp;[2025-08-30T00:00:00]" c="8/30/2025"/>
              <i n="[global_supply_chain_risk_2026].[Date].&amp;[2025-08-31T00:00:00]" c="8/31/2025"/>
              <i n="[global_supply_chain_risk_2026].[Date].&amp;[2025-09-01T00:00:00]" c="9/1/2025"/>
              <i n="[global_supply_chain_risk_2026].[Date].&amp;[2025-09-02T00:00:00]" c="9/2/2025"/>
              <i n="[global_supply_chain_risk_2026].[Date].&amp;[2025-09-03T00:00:00]" c="9/3/2025"/>
              <i n="[global_supply_chain_risk_2026].[Date].&amp;[2025-09-04T00:00:00]" c="9/4/2025"/>
              <i n="[global_supply_chain_risk_2026].[Date].&amp;[2025-09-05T00:00:00]" c="9/5/2025"/>
              <i n="[global_supply_chain_risk_2026].[Date].&amp;[2025-09-06T00:00:00]" c="9/6/2025"/>
              <i n="[global_supply_chain_risk_2026].[Date].&amp;[2025-09-07T00:00:00]" c="9/7/2025"/>
              <i n="[global_supply_chain_risk_2026].[Date].&amp;[2025-09-08T00:00:00]" c="9/8/2025"/>
              <i n="[global_supply_chain_risk_2026].[Date].&amp;[2025-09-09T00:00:00]" c="9/9/2025"/>
              <i n="[global_supply_chain_risk_2026].[Date].&amp;[2025-09-10T00:00:00]" c="9/10/2025"/>
              <i n="[global_supply_chain_risk_2026].[Date].&amp;[2025-09-11T00:00:00]" c="9/11/2025"/>
              <i n="[global_supply_chain_risk_2026].[Date].&amp;[2025-09-12T00:00:00]" c="9/12/2025"/>
              <i n="[global_supply_chain_risk_2026].[Date].&amp;[2025-09-13T00:00:00]" c="9/13/2025"/>
              <i n="[global_supply_chain_risk_2026].[Date].&amp;[2025-09-14T00:00:00]" c="9/14/2025"/>
              <i n="[global_supply_chain_risk_2026].[Date].&amp;[2025-09-15T00:00:00]" c="9/15/2025"/>
              <i n="[global_supply_chain_risk_2026].[Date].&amp;[2025-09-16T00:00:00]" c="9/16/2025"/>
              <i n="[global_supply_chain_risk_2026].[Date].&amp;[2025-09-17T00:00:00]" c="9/17/2025"/>
              <i n="[global_supply_chain_risk_2026].[Date].&amp;[2025-09-18T00:00:00]" c="9/18/2025"/>
              <i n="[global_supply_chain_risk_2026].[Date].&amp;[2025-09-19T00:00:00]" c="9/19/2025"/>
              <i n="[global_supply_chain_risk_2026].[Date].&amp;[2025-09-20T00:00:00]" c="9/20/2025"/>
              <i n="[global_supply_chain_risk_2026].[Date].&amp;[2025-09-21T00:00:00]" c="9/21/2025"/>
              <i n="[global_supply_chain_risk_2026].[Date].&amp;[2025-09-22T00:00:00]" c="9/22/2025"/>
              <i n="[global_supply_chain_risk_2026].[Date].&amp;[2025-09-23T00:00:00]" c="9/23/2025"/>
              <i n="[global_supply_chain_risk_2026].[Date].&amp;[2025-09-24T00:00:00]" c="9/24/2025"/>
              <i n="[global_supply_chain_risk_2026].[Date].&amp;[2025-09-25T00:00:00]" c="9/25/2025"/>
              <i n="[global_supply_chain_risk_2026].[Date].&amp;[2025-09-26T00:00:00]" c="9/26/2025"/>
              <i n="[global_supply_chain_risk_2026].[Date].&amp;[2025-09-27T00:00:00]" c="9/27/2025"/>
              <i n="[global_supply_chain_risk_2026].[Date].&amp;[2025-09-28T00:00:00]" c="9/28/2025"/>
              <i n="[global_supply_chain_risk_2026].[Date].&amp;[2025-09-29T00:00:00]" c="9/29/2025"/>
              <i n="[global_supply_chain_risk_2026].[Date].&amp;[2025-09-30T00:00:00]" c="9/30/2025"/>
              <i n="[global_supply_chain_risk_2026].[Date].&amp;[2025-10-01T00:00:00]" c="10/1/2025"/>
              <i n="[global_supply_chain_risk_2026].[Date].&amp;[2025-10-02T00:00:00]" c="10/2/2025"/>
              <i n="[global_supply_chain_risk_2026].[Date].&amp;[2025-10-03T00:00:00]" c="10/3/2025"/>
              <i n="[global_supply_chain_risk_2026].[Date].&amp;[2025-10-04T00:00:00]" c="10/4/2025"/>
              <i n="[global_supply_chain_risk_2026].[Date].&amp;[2025-10-05T00:00:00]" c="10/5/2025"/>
              <i n="[global_supply_chain_risk_2026].[Date].&amp;[2025-10-06T00:00:00]" c="10/6/2025"/>
              <i n="[global_supply_chain_risk_2026].[Date].&amp;[2025-10-07T00:00:00]" c="10/7/2025"/>
              <i n="[global_supply_chain_risk_2026].[Date].&amp;[2025-10-08T00:00:00]" c="10/8/2025"/>
              <i n="[global_supply_chain_risk_2026].[Date].&amp;[2025-10-09T00:00:00]" c="10/9/2025"/>
              <i n="[global_supply_chain_risk_2026].[Date].&amp;[2025-10-10T00:00:00]" c="10/10/2025"/>
              <i n="[global_supply_chain_risk_2026].[Date].&amp;[2025-10-11T00:00:00]" c="10/11/2025"/>
              <i n="[global_supply_chain_risk_2026].[Date].&amp;[2025-10-12T00:00:00]" c="10/12/2025"/>
              <i n="[global_supply_chain_risk_2026].[Date].&amp;[2025-10-13T00:00:00]" c="10/13/2025"/>
              <i n="[global_supply_chain_risk_2026].[Date].&amp;[2025-10-14T00:00:00]" c="10/14/2025"/>
              <i n="[global_supply_chain_risk_2026].[Date].&amp;[2025-10-15T00:00:00]" c="10/15/2025"/>
              <i n="[global_supply_chain_risk_2026].[Date].&amp;[2025-10-16T00:00:00]" c="10/16/2025"/>
              <i n="[global_supply_chain_risk_2026].[Date].&amp;[2025-10-17T00:00:00]" c="10/17/2025"/>
              <i n="[global_supply_chain_risk_2026].[Date].&amp;[2025-10-18T00:00:00]" c="10/18/2025"/>
              <i n="[global_supply_chain_risk_2026].[Date].&amp;[2025-10-19T00:00:00]" c="10/19/2025"/>
              <i n="[global_supply_chain_risk_2026].[Date].&amp;[2025-10-20T00:00:00]" c="10/20/2025"/>
              <i n="[global_supply_chain_risk_2026].[Date].&amp;[2025-10-21T00:00:00]" c="10/21/2025"/>
              <i n="[global_supply_chain_risk_2026].[Date].&amp;[2025-10-22T00:00:00]" c="10/22/2025"/>
              <i n="[global_supply_chain_risk_2026].[Date].&amp;[2025-10-23T00:00:00]" c="10/23/2025"/>
              <i n="[global_supply_chain_risk_2026].[Date].&amp;[2025-10-24T00:00:00]" c="10/24/2025"/>
              <i n="[global_supply_chain_risk_2026].[Date].&amp;[2025-10-25T00:00:00]" c="10/25/2025"/>
              <i n="[global_supply_chain_risk_2026].[Date].&amp;[2025-10-26T00:00:00]" c="10/26/2025"/>
              <i n="[global_supply_chain_risk_2026].[Date].&amp;[2025-10-27T00:00:00]" c="10/27/2025"/>
              <i n="[global_supply_chain_risk_2026].[Date].&amp;[2025-10-28T00:00:00]" c="10/28/2025"/>
              <i n="[global_supply_chain_risk_2026].[Date].&amp;[2025-10-29T00:00:00]" c="10/29/2025"/>
              <i n="[global_supply_chain_risk_2026].[Date].&amp;[2025-10-30T00:00:00]" c="10/30/2025"/>
              <i n="[global_supply_chain_risk_2026].[Date].&amp;[2025-10-31T00:00:00]" c="10/31/2025"/>
              <i n="[global_supply_chain_risk_2026].[Date].&amp;[2025-11-01T00:00:00]" c="11/1/2025"/>
              <i n="[global_supply_chain_risk_2026].[Date].&amp;[2025-11-02T00:00:00]" c="11/2/2025"/>
              <i n="[global_supply_chain_risk_2026].[Date].&amp;[2025-11-03T00:00:00]" c="11/3/2025"/>
              <i n="[global_supply_chain_risk_2026].[Date].&amp;[2025-11-04T00:00:00]" c="11/4/2025"/>
              <i n="[global_supply_chain_risk_2026].[Date].&amp;[2025-11-05T00:00:00]" c="11/5/2025"/>
              <i n="[global_supply_chain_risk_2026].[Date].&amp;[2025-11-06T00:00:00]" c="11/6/2025"/>
              <i n="[global_supply_chain_risk_2026].[Date].&amp;[2025-11-07T00:00:00]" c="11/7/2025"/>
              <i n="[global_supply_chain_risk_2026].[Date].&amp;[2025-11-08T00:00:00]" c="11/8/2025"/>
              <i n="[global_supply_chain_risk_2026].[Date].&amp;[2025-11-09T00:00:00]" c="11/9/2025"/>
              <i n="[global_supply_chain_risk_2026].[Date].&amp;[2025-11-10T00:00:00]" c="11/10/2025"/>
              <i n="[global_supply_chain_risk_2026].[Date].&amp;[2025-11-11T00:00:00]" c="11/11/2025"/>
              <i n="[global_supply_chain_risk_2026].[Date].&amp;[2025-11-12T00:00:00]" c="11/12/2025"/>
              <i n="[global_supply_chain_risk_2026].[Date].&amp;[2025-11-13T00:00:00]" c="11/13/2025"/>
              <i n="[global_supply_chain_risk_2026].[Date].&amp;[2025-11-14T00:00:00]" c="11/14/2025"/>
              <i n="[global_supply_chain_risk_2026].[Date].&amp;[2025-11-15T00:00:00]" c="11/15/2025"/>
              <i n="[global_supply_chain_risk_2026].[Date].&amp;[2025-11-16T00:00:00]" c="11/16/2025"/>
              <i n="[global_supply_chain_risk_2026].[Date].&amp;[2025-11-17T00:00:00]" c="11/17/2025"/>
              <i n="[global_supply_chain_risk_2026].[Date].&amp;[2025-11-18T00:00:00]" c="11/18/2025"/>
              <i n="[global_supply_chain_risk_2026].[Date].&amp;[2025-11-19T00:00:00]" c="11/19/2025"/>
              <i n="[global_supply_chain_risk_2026].[Date].&amp;[2025-11-20T00:00:00]" c="11/20/2025"/>
              <i n="[global_supply_chain_risk_2026].[Date].&amp;[2025-11-21T00:00:00]" c="11/21/2025"/>
              <i n="[global_supply_chain_risk_2026].[Date].&amp;[2025-11-22T00:00:00]" c="11/22/2025"/>
              <i n="[global_supply_chain_risk_2026].[Date].&amp;[2025-11-23T00:00:00]" c="11/23/2025"/>
              <i n="[global_supply_chain_risk_2026].[Date].&amp;[2025-11-24T00:00:00]" c="11/24/2025"/>
              <i n="[global_supply_chain_risk_2026].[Date].&amp;[2025-11-25T00:00:00]" c="11/25/2025"/>
              <i n="[global_supply_chain_risk_2026].[Date].&amp;[2025-11-26T00:00:00]" c="11/26/2025"/>
              <i n="[global_supply_chain_risk_2026].[Date].&amp;[2025-11-27T00:00:00]" c="11/27/2025"/>
              <i n="[global_supply_chain_risk_2026].[Date].&amp;[2025-11-28T00:00:00]" c="11/28/2025"/>
              <i n="[global_supply_chain_risk_2026].[Date].&amp;[2025-11-29T00:00:00]" c="11/29/2025"/>
              <i n="[global_supply_chain_risk_2026].[Date].&amp;[2025-11-30T00:00:00]" c="11/30/2025"/>
              <i n="[global_supply_chain_risk_2026].[Date].&amp;[2025-12-01T00:00:00]" c="12/1/2025"/>
              <i n="[global_supply_chain_risk_2026].[Date].&amp;[2025-12-02T00:00:00]" c="12/2/2025"/>
              <i n="[global_supply_chain_risk_2026].[Date].&amp;[2025-12-03T00:00:00]" c="12/3/2025"/>
              <i n="[global_supply_chain_risk_2026].[Date].&amp;[2025-12-04T00:00:00]" c="12/4/2025"/>
              <i n="[global_supply_chain_risk_2026].[Date].&amp;[2025-12-05T00:00:00]" c="12/5/2025"/>
              <i n="[global_supply_chain_risk_2026].[Date].&amp;[2025-12-06T00:00:00]" c="12/6/2025"/>
              <i n="[global_supply_chain_risk_2026].[Date].&amp;[2025-12-07T00:00:00]" c="12/7/2025"/>
              <i n="[global_supply_chain_risk_2026].[Date].&amp;[2025-12-08T00:00:00]" c="12/8/2025"/>
              <i n="[global_supply_chain_risk_2026].[Date].&amp;[2025-12-09T00:00:00]" c="12/9/2025"/>
              <i n="[global_supply_chain_risk_2026].[Date].&amp;[2025-12-10T00:00:00]" c="12/10/2025"/>
              <i n="[global_supply_chain_risk_2026].[Date].&amp;[2025-12-11T00:00:00]" c="12/11/2025"/>
              <i n="[global_supply_chain_risk_2026].[Date].&amp;[2025-12-12T00:00:00]" c="12/12/2025"/>
              <i n="[global_supply_chain_risk_2026].[Date].&amp;[2025-12-13T00:00:00]" c="12/13/2025"/>
              <i n="[global_supply_chain_risk_2026].[Date].&amp;[2025-12-14T00:00:00]" c="12/14/2025"/>
              <i n="[global_supply_chain_risk_2026].[Date].&amp;[2025-12-15T00:00:00]" c="12/15/2025"/>
              <i n="[global_supply_chain_risk_2026].[Date].&amp;[2025-12-16T00:00:00]" c="12/16/2025"/>
              <i n="[global_supply_chain_risk_2026].[Date].&amp;[2025-12-17T00:00:00]" c="12/17/2025"/>
              <i n="[global_supply_chain_risk_2026].[Date].&amp;[2025-12-18T00:00:00]" c="12/18/2025"/>
              <i n="[global_supply_chain_risk_2026].[Date].&amp;[2025-12-19T00:00:00]" c="12/19/2025"/>
              <i n="[global_supply_chain_risk_2026].[Date].&amp;[2025-12-20T00:00:00]" c="12/20/2025"/>
              <i n="[global_supply_chain_risk_2026].[Date].&amp;[2025-12-21T00:00:00]" c="12/21/2025"/>
              <i n="[global_supply_chain_risk_2026].[Date].&amp;[2025-12-22T00:00:00]" c="12/22/2025"/>
              <i n="[global_supply_chain_risk_2026].[Date].&amp;[2025-12-23T00:00:00]" c="12/23/2025"/>
              <i n="[global_supply_chain_risk_2026].[Date].&amp;[2025-12-25T00:00:00]" c="12/25/2025"/>
              <i n="[global_supply_chain_risk_2026].[Date].&amp;[2025-12-26T00:00:00]" c="12/26/2025"/>
              <i n="[global_supply_chain_risk_2026].[Date].&amp;[2025-12-27T00:00:00]" c="12/27/2025"/>
              <i n="[global_supply_chain_risk_2026].[Date].&amp;[2025-12-28T00:00:00]" c="12/28/2025"/>
              <i n="[global_supply_chain_risk_2026].[Date].&amp;[2025-12-29T00:00:00]" c="12/29/2025"/>
              <i n="[global_supply_chain_risk_2026].[Date].&amp;[2025-12-30T00:00:00]" c="12/30/2025"/>
              <i n="[global_supply_chain_risk_2026].[Date].&amp;[2025-12-31T00:00:00]" c="12/31/2025"/>
              <i n="[global_supply_chain_risk_2026].[Date].&amp;[2024-01-14T00:00:00]" c="1/14/2024" nd="1"/>
              <i n="[global_supply_chain_risk_2026].[Date].&amp;[2024-12-09T00:00:00]" c="12/9/2024" nd="1"/>
              <i n="[global_supply_chain_risk_2026].[Date].&amp;[2025-04-08T00:00:00]" c="4/8/2025" nd="1"/>
              <i n="[global_supply_chain_risk_2026].[Date].&amp;[2025-06-08T00:00:00]" c="6/8/2025" nd="1"/>
              <i n="[global_supply_chain_risk_2026].[Date].&amp;[2025-06-28T00:00:00]" c="6/28/2025" nd="1"/>
              <i n="[global_supply_chain_risk_2026].[Date].&amp;[2025-12-24T00:00:00]" c="12/24/2025" nd="1"/>
            </range>
          </ranges>
        </level>
      </levels>
      <selections count="1">
        <selection n="[global_supply_chain_risk_2026].[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2324A3A-3FAE-4EE1-8B08-6BC91D0C93D3}" sourceName="[global_supply_chain_risk_2026].[Product_Category]">
  <pivotTables>
    <pivotTable tabId="1" name="PivotTable2"/>
    <pivotTable tabId="1" name="PivotTable1"/>
    <pivotTable tabId="1" name="PivotTable3"/>
    <pivotTable tabId="1" name="PivotTable4"/>
    <pivotTable tabId="1" name="PivotTable5"/>
    <pivotTable tabId="6" name="PivotTable7"/>
    <pivotTable tabId="1" name="PivotTable6"/>
  </pivotTables>
  <data>
    <olap pivotCacheId="962473282">
      <levels count="2">
        <level uniqueName="[global_supply_chain_risk_2026].[Product_Category].[(All)]" sourceCaption="(All)" count="0"/>
        <level uniqueName="[global_supply_chain_risk_2026].[Product_Category].[Product_Category]" sourceCaption="Product_Category" count="5">
          <ranges>
            <range startItem="0">
              <i n="[global_supply_chain_risk_2026].[Product_Category].&amp;[Automotive]" c="Automotive"/>
              <i n="[global_supply_chain_risk_2026].[Product_Category].&amp;[Electronics]" c="Electronics"/>
              <i n="[global_supply_chain_risk_2026].[Product_Category].&amp;[Perishables]" c="Perishables"/>
              <i n="[global_supply_chain_risk_2026].[Product_Category].&amp;[Pharmaceuticals]" c="Pharmaceuticals"/>
              <i n="[global_supply_chain_risk_2026].[Product_Category].&amp;[Textiles]" c="Textiles"/>
            </range>
          </ranges>
        </level>
      </levels>
      <selections count="1">
        <selection n="[global_supply_chain_risk_2026].[Product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Mode" xr10:uid="{B4018604-6459-4669-9812-45A985BDBB0A}" sourceName="[global_supply_chain_risk_2026].[Transport_Mode]">
  <pivotTables>
    <pivotTable tabId="1" name="PivotTable2"/>
    <pivotTable tabId="1" name="PivotTable1"/>
    <pivotTable tabId="1" name="PivotTable3"/>
    <pivotTable tabId="1" name="PivotTable4"/>
    <pivotTable tabId="1" name="PivotTable5"/>
    <pivotTable tabId="6" name="PivotTable7"/>
    <pivotTable tabId="1" name="PivotTable6"/>
  </pivotTables>
  <data>
    <olap pivotCacheId="962473282">
      <levels count="2">
        <level uniqueName="[global_supply_chain_risk_2026].[Transport_Mode].[(All)]" sourceCaption="(All)" count="0"/>
        <level uniqueName="[global_supply_chain_risk_2026].[Transport_Mode].[Transport_Mode]" sourceCaption="Transport_Mode" count="4">
          <ranges>
            <range startItem="0">
              <i n="[global_supply_chain_risk_2026].[Transport_Mode].&amp;[Air]" c="Air"/>
              <i n="[global_supply_chain_risk_2026].[Transport_Mode].&amp;[Rail]" c="Rail"/>
              <i n="[global_supply_chain_risk_2026].[Transport_Mode].&amp;[Road]" c="Road"/>
              <i n="[global_supply_chain_risk_2026].[Transport_Mode].&amp;[Sea]" c="Sea"/>
            </range>
          </ranges>
        </level>
      </levels>
      <selections count="1">
        <selection n="[global_supply_chain_risk_2026].[Transport_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994DBBAD-9647-49CB-89A5-B7E591140831}" sourceName="[global_supply_chain_risk_2026].[Weather_Condition]">
  <pivotTables>
    <pivotTable tabId="1" name="PivotTable2"/>
    <pivotTable tabId="1" name="PivotTable1"/>
    <pivotTable tabId="1" name="PivotTable3"/>
    <pivotTable tabId="1" name="PivotTable4"/>
    <pivotTable tabId="1" name="PivotTable5"/>
    <pivotTable tabId="6" name="PivotTable7"/>
    <pivotTable tabId="1" name="PivotTable6"/>
  </pivotTables>
  <data>
    <olap pivotCacheId="962473282">
      <levels count="2">
        <level uniqueName="[global_supply_chain_risk_2026].[Weather_Condition].[(All)]" sourceCaption="(All)" count="0"/>
        <level uniqueName="[global_supply_chain_risk_2026].[Weather_Condition].[Weather_Condition]" sourceCaption="Weather_Condition" count="5">
          <ranges>
            <range startItem="0">
              <i n="[global_supply_chain_risk_2026].[Weather_Condition].&amp;[Clear]" c="Clear"/>
              <i n="[global_supply_chain_risk_2026].[Weather_Condition].&amp;[Fog]" c="Fog"/>
              <i n="[global_supply_chain_risk_2026].[Weather_Condition].&amp;[Hurricane]" c="Hurricane"/>
              <i n="[global_supply_chain_risk_2026].[Weather_Condition].&amp;[Rain]" c="Rain"/>
              <i n="[global_supply_chain_risk_2026].[Weather_Condition].&amp;[Storm]" c="Storm"/>
            </range>
          </ranges>
        </level>
      </levels>
      <selections count="1">
        <selection n="[global_supply_chain_risk_2026].[Weather_Condi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_Plausibility" xr10:uid="{76839380-D943-4494-B7CE-D5A12826C006}" sourceName="[global_supply_chain_risk_2026].[Route_Plausibility]">
  <pivotTables>
    <pivotTable tabId="6" name="PivotTable7"/>
    <pivotTable tabId="1" name="PivotTable1"/>
    <pivotTable tabId="1" name="PivotTable2"/>
    <pivotTable tabId="1" name="PivotTable3"/>
    <pivotTable tabId="1" name="PivotTable4"/>
    <pivotTable tabId="1" name="PivotTable5"/>
    <pivotTable tabId="1" name="PivotTable6"/>
  </pivotTables>
  <data>
    <olap pivotCacheId="962473282">
      <levels count="2">
        <level uniqueName="[global_supply_chain_risk_2026].[Route_Plausibility].[(All)]" sourceCaption="(All)" count="0"/>
        <level uniqueName="[global_supply_chain_risk_2026].[Route_Plausibility].[Route_Plausibility]" sourceCaption="Route_Plausibility" count="2">
          <ranges>
            <range startItem="0">
              <i n="[global_supply_chain_risk_2026].[Route_Plausibility].&amp;[Flag - Implausible Mode/Route]" c="Flag - Implausible Mode/Route"/>
              <i n="[global_supply_chain_risk_2026].[Route_Plausibility].&amp;[OK]" c="OK"/>
            </range>
          </ranges>
        </level>
      </levels>
      <selections count="1">
        <selection n="[global_supply_chain_risk_2026].[Route_Plausibility].&amp;[OK]"/>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EF4DB29D-3F94-430D-A698-92DB3E0014B2}" cache="Slicer_Date" caption="Date" showCaption="0" level="1" rowHeight="241300"/>
  <slicer name="Product_Category" xr10:uid="{54B509E6-193E-4F0E-86A5-44C466DDF698}" cache="Slicer_Product_Category" caption="Product_Category" showCaption="0" level="1" rowHeight="241300"/>
  <slicer name="Transport_Mode" xr10:uid="{A8EDA81B-D303-4F30-BDAC-B668F04E03CC}" cache="Slicer_Transport_Mode" caption="Transport_Mode" showCaption="0" level="1" rowHeight="241300"/>
  <slicer name="Weather_Condition" xr10:uid="{048B8341-06DF-414B-B786-670B287C31F9}" cache="Slicer_Weather_Condition" caption="Weather_Condition" showCaption="0" level="1" rowHeight="241300"/>
  <slicer name="Route_Plausibility" xr10:uid="{D7068A29-003B-4330-B60B-5C4FC373D2D3}" cache="Slicer_Route_Plausibility" caption="Route_Plausibility" showCaption="0"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05E4C-B131-4170-AEC4-99AB2670739E}" name="PortRef" displayName="PortRef" ref="A2:B11" totalsRowShown="0" headerRowDxfId="3">
  <autoFilter ref="A2:B11" xr:uid="{5AE05E4C-B131-4170-AEC4-99AB2670739E}"/>
  <tableColumns count="2">
    <tableColumn id="1" xr3:uid="{73663934-0BDF-4E91-98C6-C8915DF2AA1B}" name="Port"/>
    <tableColumn id="2" xr3:uid="{D7F70F36-512A-4614-BF87-6268C82D0B8A}" name="Contin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FE2A-6B6F-4337-B72F-47B59469E286}">
  <dimension ref="B2:N31"/>
  <sheetViews>
    <sheetView showGridLines="0" workbookViewId="0">
      <selection activeCell="B18" sqref="B18:N19"/>
    </sheetView>
  </sheetViews>
  <sheetFormatPr defaultRowHeight="14.5" x14ac:dyDescent="0.35"/>
  <sheetData>
    <row r="2" spans="2:14" ht="21" x14ac:dyDescent="0.5">
      <c r="B2" s="21" t="s">
        <v>36</v>
      </c>
      <c r="C2" s="21"/>
      <c r="D2" s="21"/>
      <c r="E2" s="21"/>
      <c r="F2" s="21"/>
      <c r="G2" s="21"/>
      <c r="H2" s="21"/>
      <c r="I2" s="21"/>
      <c r="J2" s="21"/>
      <c r="K2" s="21"/>
      <c r="L2" s="21"/>
      <c r="M2" s="21"/>
      <c r="N2" s="21"/>
    </row>
    <row r="3" spans="2:14" x14ac:dyDescent="0.35">
      <c r="B3" s="12"/>
      <c r="C3" s="12"/>
      <c r="D3" s="12"/>
      <c r="E3" s="12"/>
      <c r="F3" s="12"/>
      <c r="G3" s="12"/>
      <c r="H3" s="12"/>
      <c r="I3" s="12"/>
      <c r="J3" s="12"/>
      <c r="K3" s="12"/>
      <c r="L3" s="12"/>
      <c r="M3" s="12"/>
      <c r="N3" s="12"/>
    </row>
    <row r="4" spans="2:14" ht="18.5" x14ac:dyDescent="0.45">
      <c r="B4" s="20" t="s">
        <v>37</v>
      </c>
      <c r="C4" s="20"/>
      <c r="D4" s="20"/>
      <c r="E4" s="20"/>
      <c r="F4" s="20"/>
      <c r="G4" s="20"/>
      <c r="H4" s="20"/>
      <c r="I4" s="20"/>
      <c r="J4" s="20"/>
      <c r="K4" s="20"/>
      <c r="L4" s="20"/>
      <c r="M4" s="20"/>
      <c r="N4" s="20"/>
    </row>
    <row r="5" spans="2:14" x14ac:dyDescent="0.35">
      <c r="B5" s="12"/>
      <c r="C5" s="12"/>
      <c r="D5" s="12"/>
      <c r="E5" s="12"/>
      <c r="F5" s="12"/>
      <c r="G5" s="12"/>
      <c r="H5" s="12"/>
      <c r="I5" s="12"/>
      <c r="J5" s="12"/>
      <c r="K5" s="12"/>
      <c r="L5" s="12"/>
      <c r="M5" s="12"/>
      <c r="N5" s="12"/>
    </row>
    <row r="6" spans="2:14" x14ac:dyDescent="0.35">
      <c r="B6" s="18" t="s">
        <v>43</v>
      </c>
      <c r="C6" s="18"/>
      <c r="D6" s="18"/>
      <c r="E6" s="18"/>
      <c r="F6" s="18"/>
      <c r="G6" s="18"/>
      <c r="H6" s="18"/>
      <c r="I6" s="18"/>
      <c r="J6" s="18"/>
      <c r="K6" s="18"/>
      <c r="L6" s="18"/>
      <c r="M6" s="18"/>
      <c r="N6" s="18"/>
    </row>
    <row r="7" spans="2:14" x14ac:dyDescent="0.35">
      <c r="B7" s="22" t="s">
        <v>44</v>
      </c>
      <c r="C7" s="22"/>
      <c r="D7" s="22"/>
      <c r="E7" s="22"/>
      <c r="F7" s="22"/>
      <c r="G7" s="22"/>
      <c r="H7" s="22"/>
      <c r="I7" s="22"/>
      <c r="J7" s="22"/>
      <c r="K7" s="22"/>
      <c r="L7" s="22"/>
      <c r="M7" s="22"/>
      <c r="N7" s="22"/>
    </row>
    <row r="8" spans="2:14" ht="14.5" customHeight="1" x14ac:dyDescent="0.35">
      <c r="B8" s="17" t="s">
        <v>59</v>
      </c>
      <c r="C8" s="17"/>
      <c r="D8" s="17"/>
      <c r="E8" s="17"/>
      <c r="F8" s="17"/>
      <c r="G8" s="17"/>
      <c r="H8" s="17"/>
      <c r="I8" s="17"/>
      <c r="J8" s="17"/>
      <c r="K8" s="17"/>
      <c r="L8" s="17"/>
      <c r="M8" s="17"/>
      <c r="N8" s="17"/>
    </row>
    <row r="9" spans="2:14" x14ac:dyDescent="0.35">
      <c r="B9" s="17"/>
      <c r="C9" s="17"/>
      <c r="D9" s="17"/>
      <c r="E9" s="17"/>
      <c r="F9" s="17"/>
      <c r="G9" s="17"/>
      <c r="H9" s="17"/>
      <c r="I9" s="17"/>
      <c r="J9" s="17"/>
      <c r="K9" s="17"/>
      <c r="L9" s="17"/>
      <c r="M9" s="17"/>
      <c r="N9" s="17"/>
    </row>
    <row r="10" spans="2:14" x14ac:dyDescent="0.35">
      <c r="B10" s="17"/>
      <c r="C10" s="17"/>
      <c r="D10" s="17"/>
      <c r="E10" s="17"/>
      <c r="F10" s="17"/>
      <c r="G10" s="17"/>
      <c r="H10" s="17"/>
      <c r="I10" s="17"/>
      <c r="J10" s="17"/>
      <c r="K10" s="17"/>
      <c r="L10" s="17"/>
      <c r="M10" s="17"/>
      <c r="N10" s="17"/>
    </row>
    <row r="11" spans="2:14" ht="18.5" x14ac:dyDescent="0.45">
      <c r="B11" s="20" t="s">
        <v>38</v>
      </c>
      <c r="C11" s="20"/>
      <c r="D11" s="20"/>
      <c r="E11" s="20"/>
      <c r="F11" s="20"/>
      <c r="G11" s="20"/>
      <c r="H11" s="20"/>
      <c r="I11" s="20"/>
      <c r="J11" s="20"/>
      <c r="K11" s="20"/>
      <c r="L11" s="20"/>
      <c r="M11" s="20"/>
      <c r="N11" s="20"/>
    </row>
    <row r="12" spans="2:14" x14ac:dyDescent="0.35">
      <c r="B12" s="17" t="s">
        <v>39</v>
      </c>
      <c r="C12" s="17"/>
      <c r="D12" s="17"/>
      <c r="E12" s="17"/>
      <c r="F12" s="17"/>
      <c r="G12" s="17"/>
      <c r="H12" s="17"/>
      <c r="I12" s="17"/>
      <c r="J12" s="17"/>
      <c r="K12" s="17"/>
      <c r="L12" s="17"/>
      <c r="M12" s="17"/>
      <c r="N12" s="17"/>
    </row>
    <row r="13" spans="2:14" x14ac:dyDescent="0.35">
      <c r="B13" s="17"/>
      <c r="C13" s="17"/>
      <c r="D13" s="17"/>
      <c r="E13" s="17"/>
      <c r="F13" s="17"/>
      <c r="G13" s="17"/>
      <c r="H13" s="17"/>
      <c r="I13" s="17"/>
      <c r="J13" s="17"/>
      <c r="K13" s="17"/>
      <c r="L13" s="17"/>
      <c r="M13" s="17"/>
      <c r="N13" s="17"/>
    </row>
    <row r="14" spans="2:14" x14ac:dyDescent="0.35">
      <c r="B14" s="17" t="s">
        <v>40</v>
      </c>
      <c r="C14" s="17"/>
      <c r="D14" s="17"/>
      <c r="E14" s="17"/>
      <c r="F14" s="17"/>
      <c r="G14" s="17"/>
      <c r="H14" s="17"/>
      <c r="I14" s="17"/>
      <c r="J14" s="17"/>
      <c r="K14" s="17"/>
      <c r="L14" s="17"/>
      <c r="M14" s="17"/>
      <c r="N14" s="17"/>
    </row>
    <row r="15" spans="2:14" x14ac:dyDescent="0.35">
      <c r="B15" s="22" t="s">
        <v>119</v>
      </c>
      <c r="C15" s="22"/>
      <c r="D15" s="22"/>
      <c r="E15" s="22"/>
      <c r="F15" s="22"/>
      <c r="G15" s="22"/>
      <c r="H15" s="22"/>
      <c r="I15" s="22"/>
      <c r="J15" s="22"/>
      <c r="K15" s="22"/>
      <c r="L15" s="22"/>
      <c r="M15" s="22"/>
      <c r="N15" s="22"/>
    </row>
    <row r="16" spans="2:14" s="14" customFormat="1" x14ac:dyDescent="0.35">
      <c r="B16" s="22"/>
      <c r="C16" s="22"/>
      <c r="D16" s="22"/>
      <c r="E16" s="22"/>
      <c r="F16" s="22"/>
      <c r="G16" s="22"/>
      <c r="H16" s="22"/>
      <c r="I16" s="22"/>
      <c r="J16" s="22"/>
      <c r="K16" s="22"/>
      <c r="L16" s="22"/>
      <c r="M16" s="22"/>
      <c r="N16" s="22"/>
    </row>
    <row r="17" spans="2:14" x14ac:dyDescent="0.35">
      <c r="B17" s="18" t="s">
        <v>45</v>
      </c>
      <c r="C17" s="18"/>
      <c r="D17" s="18"/>
      <c r="E17" s="18"/>
      <c r="F17" s="18"/>
      <c r="G17" s="18"/>
      <c r="H17" s="18"/>
      <c r="I17" s="18"/>
      <c r="J17" s="18"/>
      <c r="K17" s="18"/>
      <c r="L17" s="18"/>
      <c r="M17" s="18"/>
      <c r="N17" s="18"/>
    </row>
    <row r="18" spans="2:14" x14ac:dyDescent="0.35">
      <c r="B18" s="17" t="s">
        <v>134</v>
      </c>
      <c r="C18" s="17"/>
      <c r="D18" s="17"/>
      <c r="E18" s="17"/>
      <c r="F18" s="17"/>
      <c r="G18" s="17"/>
      <c r="H18" s="17"/>
      <c r="I18" s="17"/>
      <c r="J18" s="17"/>
      <c r="K18" s="17"/>
      <c r="L18" s="17"/>
      <c r="M18" s="17"/>
      <c r="N18" s="17"/>
    </row>
    <row r="19" spans="2:14" s="14" customFormat="1" x14ac:dyDescent="0.35">
      <c r="B19" s="17"/>
      <c r="C19" s="17"/>
      <c r="D19" s="17"/>
      <c r="E19" s="17"/>
      <c r="F19" s="17"/>
      <c r="G19" s="17"/>
      <c r="H19" s="17"/>
      <c r="I19" s="17"/>
      <c r="J19" s="17"/>
      <c r="K19" s="17"/>
      <c r="L19" s="17"/>
      <c r="M19" s="17"/>
      <c r="N19" s="17"/>
    </row>
    <row r="20" spans="2:14" s="14" customFormat="1" x14ac:dyDescent="0.35">
      <c r="B20" s="17" t="s">
        <v>60</v>
      </c>
      <c r="C20" s="17"/>
      <c r="D20" s="17"/>
      <c r="E20" s="17"/>
      <c r="F20" s="17"/>
      <c r="G20" s="17"/>
      <c r="H20" s="17"/>
      <c r="I20" s="17"/>
      <c r="J20" s="17"/>
      <c r="K20" s="17"/>
      <c r="L20" s="17"/>
      <c r="M20" s="17"/>
      <c r="N20" s="17"/>
    </row>
    <row r="21" spans="2:14" s="14" customFormat="1" x14ac:dyDescent="0.35">
      <c r="B21" s="17"/>
      <c r="C21" s="17"/>
      <c r="D21" s="17"/>
      <c r="E21" s="17"/>
      <c r="F21" s="17"/>
      <c r="G21" s="17"/>
      <c r="H21" s="17"/>
      <c r="I21" s="17"/>
      <c r="J21" s="17"/>
      <c r="K21" s="17"/>
      <c r="L21" s="17"/>
      <c r="M21" s="17"/>
      <c r="N21" s="17"/>
    </row>
    <row r="22" spans="2:14" x14ac:dyDescent="0.35">
      <c r="B22" s="13"/>
      <c r="C22" s="13"/>
      <c r="D22" s="13"/>
      <c r="E22" s="13"/>
      <c r="F22" s="13"/>
      <c r="G22" s="13"/>
      <c r="H22" s="13"/>
      <c r="I22" s="13"/>
      <c r="J22" s="13"/>
      <c r="K22" s="13"/>
      <c r="L22" s="13"/>
      <c r="M22" s="13"/>
      <c r="N22" s="13"/>
    </row>
    <row r="23" spans="2:14" ht="18.5" x14ac:dyDescent="0.45">
      <c r="B23" s="20" t="s">
        <v>41</v>
      </c>
      <c r="C23" s="20"/>
      <c r="D23" s="20"/>
      <c r="E23" s="20"/>
      <c r="F23" s="20"/>
      <c r="G23" s="20"/>
      <c r="H23" s="20"/>
      <c r="I23" s="20"/>
      <c r="J23" s="20"/>
      <c r="K23" s="20"/>
      <c r="L23" s="20"/>
      <c r="M23" s="20"/>
      <c r="N23" s="20"/>
    </row>
    <row r="24" spans="2:14" x14ac:dyDescent="0.35">
      <c r="B24" s="19" t="s">
        <v>42</v>
      </c>
      <c r="C24" s="19"/>
      <c r="D24" s="19"/>
      <c r="E24" s="19"/>
      <c r="F24" s="19"/>
      <c r="G24" s="19"/>
      <c r="H24" s="19"/>
      <c r="I24" s="19"/>
      <c r="J24" s="19"/>
      <c r="K24" s="19"/>
      <c r="L24" s="19"/>
      <c r="M24" s="19"/>
      <c r="N24" s="19"/>
    </row>
    <row r="25" spans="2:14" x14ac:dyDescent="0.35">
      <c r="B25" s="17" t="s">
        <v>64</v>
      </c>
      <c r="C25" s="17"/>
      <c r="D25" s="17"/>
      <c r="E25" s="17"/>
      <c r="F25" s="17"/>
      <c r="G25" s="17"/>
      <c r="H25" s="17"/>
      <c r="I25" s="17"/>
      <c r="J25" s="17"/>
      <c r="K25" s="17"/>
      <c r="L25" s="17"/>
      <c r="M25" s="17"/>
      <c r="N25" s="17"/>
    </row>
    <row r="26" spans="2:14" x14ac:dyDescent="0.35">
      <c r="B26" s="17"/>
      <c r="C26" s="17"/>
      <c r="D26" s="17"/>
      <c r="E26" s="17"/>
      <c r="F26" s="17"/>
      <c r="G26" s="17"/>
      <c r="H26" s="17"/>
      <c r="I26" s="17"/>
      <c r="J26" s="17"/>
      <c r="K26" s="17"/>
      <c r="L26" s="17"/>
      <c r="M26" s="17"/>
      <c r="N26" s="17"/>
    </row>
    <row r="27" spans="2:14" x14ac:dyDescent="0.35">
      <c r="B27" s="17" t="s">
        <v>126</v>
      </c>
      <c r="C27" s="17"/>
      <c r="D27" s="17"/>
      <c r="E27" s="17"/>
      <c r="F27" s="17"/>
      <c r="G27" s="17"/>
      <c r="H27" s="17"/>
      <c r="I27" s="17"/>
      <c r="J27" s="17"/>
      <c r="K27" s="17"/>
      <c r="L27" s="17"/>
      <c r="M27" s="17"/>
      <c r="N27" s="17"/>
    </row>
    <row r="28" spans="2:14" x14ac:dyDescent="0.35">
      <c r="B28" s="17"/>
      <c r="C28" s="17"/>
      <c r="D28" s="17"/>
      <c r="E28" s="17"/>
      <c r="F28" s="17"/>
      <c r="G28" s="17"/>
      <c r="H28" s="17"/>
      <c r="I28" s="17"/>
      <c r="J28" s="17"/>
      <c r="K28" s="17"/>
      <c r="L28" s="17"/>
      <c r="M28" s="17"/>
      <c r="N28" s="17"/>
    </row>
    <row r="29" spans="2:14" s="14" customFormat="1" x14ac:dyDescent="0.35">
      <c r="B29" s="17"/>
      <c r="C29" s="17"/>
      <c r="D29" s="17"/>
      <c r="E29" s="17"/>
      <c r="F29" s="17"/>
      <c r="G29" s="17"/>
      <c r="H29" s="17"/>
      <c r="I29" s="17"/>
      <c r="J29" s="17"/>
      <c r="K29" s="17"/>
      <c r="L29" s="17"/>
      <c r="M29" s="17"/>
      <c r="N29" s="17"/>
    </row>
    <row r="30" spans="2:14" x14ac:dyDescent="0.35">
      <c r="B30" s="17" t="s">
        <v>46</v>
      </c>
      <c r="C30" s="17"/>
      <c r="D30" s="17"/>
      <c r="E30" s="17"/>
      <c r="F30" s="17"/>
      <c r="G30" s="17"/>
      <c r="H30" s="17"/>
      <c r="I30" s="17"/>
      <c r="J30" s="17"/>
      <c r="K30" s="17"/>
      <c r="L30" s="17"/>
      <c r="M30" s="17"/>
      <c r="N30" s="17"/>
    </row>
    <row r="31" spans="2:14" x14ac:dyDescent="0.35">
      <c r="B31" s="17"/>
      <c r="C31" s="17"/>
      <c r="D31" s="17"/>
      <c r="E31" s="17"/>
      <c r="F31" s="17"/>
      <c r="G31" s="17"/>
      <c r="H31" s="17"/>
      <c r="I31" s="17"/>
      <c r="J31" s="17"/>
      <c r="K31" s="17"/>
      <c r="L31" s="17"/>
      <c r="M31" s="17"/>
      <c r="N31" s="17"/>
    </row>
  </sheetData>
  <mergeCells count="17">
    <mergeCell ref="B2:N2"/>
    <mergeCell ref="B4:N4"/>
    <mergeCell ref="B11:N11"/>
    <mergeCell ref="B17:N17"/>
    <mergeCell ref="B6:N6"/>
    <mergeCell ref="B7:N7"/>
    <mergeCell ref="B12:N13"/>
    <mergeCell ref="B14:N14"/>
    <mergeCell ref="B15:N16"/>
    <mergeCell ref="B25:N26"/>
    <mergeCell ref="B8:N10"/>
    <mergeCell ref="B20:N21"/>
    <mergeCell ref="B30:N31"/>
    <mergeCell ref="B24:N24"/>
    <mergeCell ref="B23:N23"/>
    <mergeCell ref="B27:N29"/>
    <mergeCell ref="B18:N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85EB-D6A5-4682-9EC2-A99CC4E9B14E}">
  <dimension ref="A1:Q53"/>
  <sheetViews>
    <sheetView topLeftCell="A33" zoomScale="90" zoomScaleNormal="90" workbookViewId="0">
      <selection activeCell="Q41" sqref="Q41:Q43"/>
    </sheetView>
  </sheetViews>
  <sheetFormatPr defaultRowHeight="14.5" x14ac:dyDescent="0.35"/>
  <cols>
    <col min="1" max="1" width="31.08984375" bestFit="1" customWidth="1"/>
    <col min="2" max="2" width="17.26953125" bestFit="1" customWidth="1"/>
    <col min="3" max="3" width="16.1796875" bestFit="1" customWidth="1"/>
    <col min="4" max="4" width="19.1796875" bestFit="1" customWidth="1"/>
    <col min="5" max="5" width="4.453125" bestFit="1" customWidth="1"/>
    <col min="6" max="6" width="20.36328125" bestFit="1" customWidth="1"/>
    <col min="7" max="7" width="10.81640625" bestFit="1" customWidth="1"/>
    <col min="8" max="8" width="5.81640625" bestFit="1" customWidth="1"/>
    <col min="9" max="9" width="9.1796875" bestFit="1" customWidth="1"/>
    <col min="10" max="10" width="7.453125" bestFit="1" customWidth="1"/>
    <col min="11" max="11" width="5.90625" bestFit="1" customWidth="1"/>
    <col min="12" max="12" width="18.81640625" style="14" customWidth="1"/>
    <col min="13" max="13" width="18.90625" bestFit="1" customWidth="1"/>
    <col min="14" max="14" width="9.1796875" bestFit="1" customWidth="1"/>
    <col min="15" max="15" width="18.36328125" bestFit="1" customWidth="1"/>
    <col min="16" max="16" width="5.26953125" bestFit="1" customWidth="1"/>
    <col min="17" max="17" width="4.453125" bestFit="1" customWidth="1"/>
    <col min="18" max="18" width="13" bestFit="1" customWidth="1"/>
    <col min="19" max="19" width="9" bestFit="1" customWidth="1"/>
    <col min="20" max="20" width="13" bestFit="1" customWidth="1"/>
    <col min="21" max="21" width="9" bestFit="1" customWidth="1"/>
    <col min="22" max="22" width="20.7265625" bestFit="1" customWidth="1"/>
    <col min="23" max="23" width="22.90625" bestFit="1" customWidth="1"/>
  </cols>
  <sheetData>
    <row r="1" spans="1:17" s="14" customFormat="1" x14ac:dyDescent="0.35">
      <c r="F1" s="5" t="s">
        <v>72</v>
      </c>
      <c r="G1" s="14" t="s" vm="4">
        <v>81</v>
      </c>
      <c r="M1" s="5" t="s">
        <v>72</v>
      </c>
      <c r="N1" s="14" t="s" vm="4">
        <v>81</v>
      </c>
    </row>
    <row r="2" spans="1:17" s="14" customFormat="1" x14ac:dyDescent="0.35">
      <c r="F2" s="5" t="s">
        <v>76</v>
      </c>
      <c r="G2" s="14" t="s" vm="3">
        <v>73</v>
      </c>
      <c r="M2" s="5" t="s">
        <v>76</v>
      </c>
      <c r="N2" s="14" t="s" vm="3">
        <v>73</v>
      </c>
    </row>
    <row r="3" spans="1:17" s="14" customFormat="1" x14ac:dyDescent="0.35">
      <c r="F3" s="5" t="s">
        <v>75</v>
      </c>
      <c r="G3" s="14" t="s" vm="2">
        <v>73</v>
      </c>
      <c r="M3" s="5" t="s">
        <v>75</v>
      </c>
      <c r="N3" s="14" t="s" vm="2">
        <v>73</v>
      </c>
    </row>
    <row r="4" spans="1:17" s="14" customFormat="1" x14ac:dyDescent="0.35">
      <c r="F4" s="5" t="s">
        <v>74</v>
      </c>
      <c r="G4" s="14" t="s" vm="1">
        <v>73</v>
      </c>
      <c r="M4" s="5" t="s">
        <v>74</v>
      </c>
      <c r="N4" s="14" t="s" vm="1">
        <v>73</v>
      </c>
    </row>
    <row r="5" spans="1:17" x14ac:dyDescent="0.35">
      <c r="A5" s="23" t="s">
        <v>54</v>
      </c>
      <c r="B5" s="24"/>
      <c r="C5" s="24"/>
      <c r="D5" s="24"/>
      <c r="F5" s="23" t="s">
        <v>53</v>
      </c>
      <c r="G5" s="24"/>
      <c r="H5" s="24"/>
      <c r="I5" s="24"/>
      <c r="J5" s="24"/>
      <c r="K5" s="24"/>
      <c r="M5" s="23" t="s">
        <v>55</v>
      </c>
      <c r="N5" s="24"/>
      <c r="O5" s="24"/>
    </row>
    <row r="6" spans="1:17" x14ac:dyDescent="0.35">
      <c r="A6" s="14" t="s">
        <v>0</v>
      </c>
      <c r="B6" s="14" t="s">
        <v>1</v>
      </c>
      <c r="C6" s="14" t="s">
        <v>2</v>
      </c>
      <c r="D6" s="14" t="s">
        <v>3</v>
      </c>
      <c r="F6" s="5" t="s">
        <v>3</v>
      </c>
      <c r="G6" s="5" t="s">
        <v>20</v>
      </c>
      <c r="M6" s="5" t="s">
        <v>21</v>
      </c>
      <c r="N6" s="14" t="s">
        <v>2</v>
      </c>
      <c r="O6" s="14" t="s">
        <v>18</v>
      </c>
      <c r="P6" s="14" t="s">
        <v>89</v>
      </c>
      <c r="Q6" s="14" t="s">
        <v>90</v>
      </c>
    </row>
    <row r="7" spans="1:17" x14ac:dyDescent="0.35">
      <c r="A7" s="1">
        <v>20.050126103404793</v>
      </c>
      <c r="B7" s="15">
        <v>0.75269010088272381</v>
      </c>
      <c r="C7" s="3">
        <v>778900</v>
      </c>
      <c r="D7" s="4">
        <v>0.61254728877679698</v>
      </c>
      <c r="F7" s="5" t="s">
        <v>19</v>
      </c>
      <c r="G7" s="14" t="s">
        <v>8</v>
      </c>
      <c r="H7" s="14" t="s">
        <v>9</v>
      </c>
      <c r="I7" s="14" t="s">
        <v>10</v>
      </c>
      <c r="J7" s="14" t="s">
        <v>11</v>
      </c>
      <c r="K7" s="14" t="s">
        <v>12</v>
      </c>
      <c r="M7" s="6" t="s">
        <v>13</v>
      </c>
      <c r="N7" s="7"/>
      <c r="O7" s="7"/>
      <c r="P7" s="7"/>
      <c r="Q7" s="7"/>
    </row>
    <row r="8" spans="1:17" x14ac:dyDescent="0.35">
      <c r="F8" s="6" t="s">
        <v>4</v>
      </c>
      <c r="G8" s="4">
        <v>0.35</v>
      </c>
      <c r="H8" s="4">
        <v>0.5</v>
      </c>
      <c r="I8" s="4">
        <v>1</v>
      </c>
      <c r="J8" s="4">
        <v>0.44400000000000001</v>
      </c>
      <c r="K8" s="4">
        <v>0.78867924528301891</v>
      </c>
      <c r="M8" s="8" t="s">
        <v>4</v>
      </c>
      <c r="N8" s="3">
        <v>65357</v>
      </c>
      <c r="O8" s="7">
        <v>2146050</v>
      </c>
      <c r="P8" s="7">
        <v>7919.0036900369005</v>
      </c>
      <c r="Q8" s="7">
        <v>241.16974169741698</v>
      </c>
    </row>
    <row r="9" spans="1:17" x14ac:dyDescent="0.35">
      <c r="F9" s="6" t="s">
        <v>5</v>
      </c>
      <c r="G9" s="4">
        <v>0.41379310344827586</v>
      </c>
      <c r="H9" s="4">
        <v>0.453125</v>
      </c>
      <c r="I9" s="4">
        <v>1</v>
      </c>
      <c r="J9" s="4">
        <v>0.32075471698113206</v>
      </c>
      <c r="K9" s="4">
        <v>0.79104477611940294</v>
      </c>
      <c r="L9" s="4"/>
      <c r="M9" s="8" t="s">
        <v>5</v>
      </c>
      <c r="N9" s="3">
        <v>13741</v>
      </c>
      <c r="O9" s="7">
        <v>456276</v>
      </c>
      <c r="P9" s="7">
        <v>7866.8275862068967</v>
      </c>
      <c r="Q9" s="7">
        <v>236.91379310344828</v>
      </c>
    </row>
    <row r="10" spans="1:17" x14ac:dyDescent="0.35">
      <c r="F10" s="6" t="s">
        <v>6</v>
      </c>
      <c r="G10" s="4">
        <v>0.43902439024390244</v>
      </c>
      <c r="H10" s="4">
        <v>0.41935483870967744</v>
      </c>
      <c r="I10" s="4">
        <v>1</v>
      </c>
      <c r="J10" s="4">
        <v>0.43636363636363634</v>
      </c>
      <c r="K10" s="4">
        <v>0.7192982456140351</v>
      </c>
      <c r="L10" s="4"/>
      <c r="M10" s="8" t="s">
        <v>6</v>
      </c>
      <c r="N10" s="3">
        <v>15578</v>
      </c>
      <c r="O10" s="7">
        <v>433746</v>
      </c>
      <c r="P10" s="7">
        <v>7110.5901639344265</v>
      </c>
      <c r="Q10" s="7">
        <v>255.37704918032787</v>
      </c>
    </row>
    <row r="11" spans="1:17" x14ac:dyDescent="0.35">
      <c r="F11" s="6" t="s">
        <v>7</v>
      </c>
      <c r="G11" s="4">
        <v>0.37102473498233218</v>
      </c>
      <c r="H11" s="4">
        <v>0.47859922178988329</v>
      </c>
      <c r="I11" s="4">
        <v>1</v>
      </c>
      <c r="J11" s="4">
        <v>0.4219409282700422</v>
      </c>
      <c r="K11" s="4">
        <v>0.79838709677419351</v>
      </c>
      <c r="L11" s="4"/>
      <c r="M11" s="8" t="s">
        <v>7</v>
      </c>
      <c r="N11" s="3">
        <v>60099</v>
      </c>
      <c r="O11" s="7">
        <v>1797398</v>
      </c>
      <c r="P11" s="7">
        <v>7616.093220338983</v>
      </c>
      <c r="Q11" s="7">
        <v>254.65677966101694</v>
      </c>
    </row>
    <row r="12" spans="1:17" x14ac:dyDescent="0.35">
      <c r="L12" s="4"/>
      <c r="M12" s="6" t="s">
        <v>14</v>
      </c>
      <c r="N12" s="7"/>
      <c r="O12" s="7"/>
      <c r="P12" s="7"/>
      <c r="Q12" s="7"/>
    </row>
    <row r="13" spans="1:17" x14ac:dyDescent="0.35">
      <c r="M13" s="8" t="s">
        <v>4</v>
      </c>
      <c r="N13" s="3">
        <v>69775</v>
      </c>
      <c r="O13" s="7">
        <v>2290271</v>
      </c>
      <c r="P13" s="7">
        <v>8036.0385964912284</v>
      </c>
      <c r="Q13" s="7">
        <v>244.82456140350877</v>
      </c>
    </row>
    <row r="14" spans="1:17" x14ac:dyDescent="0.35">
      <c r="M14" s="8" t="s">
        <v>5</v>
      </c>
      <c r="N14" s="3">
        <v>19664</v>
      </c>
      <c r="O14" s="7">
        <v>590792</v>
      </c>
      <c r="P14" s="7">
        <v>7983.6756756756758</v>
      </c>
      <c r="Q14" s="7">
        <v>265.72972972972974</v>
      </c>
    </row>
    <row r="15" spans="1:17" x14ac:dyDescent="0.35">
      <c r="M15" s="8" t="s">
        <v>6</v>
      </c>
      <c r="N15" s="3">
        <v>12364</v>
      </c>
      <c r="O15" s="7">
        <v>394475</v>
      </c>
      <c r="P15" s="7">
        <v>8393.0851063829796</v>
      </c>
      <c r="Q15" s="7">
        <v>263.06382978723406</v>
      </c>
    </row>
    <row r="16" spans="1:17" x14ac:dyDescent="0.35">
      <c r="M16" s="8" t="s">
        <v>7</v>
      </c>
      <c r="N16" s="3">
        <v>60511</v>
      </c>
      <c r="O16" s="7">
        <v>1954472</v>
      </c>
      <c r="P16" s="7">
        <v>7604.9494163424124</v>
      </c>
      <c r="Q16" s="7">
        <v>235.45136186770429</v>
      </c>
    </row>
    <row r="17" spans="1:17" x14ac:dyDescent="0.35">
      <c r="J17" s="3"/>
      <c r="M17" s="6" t="s">
        <v>15</v>
      </c>
      <c r="N17" s="7"/>
      <c r="O17" s="7"/>
      <c r="P17" s="7"/>
      <c r="Q17" s="7"/>
    </row>
    <row r="18" spans="1:17" x14ac:dyDescent="0.35">
      <c r="J18" s="3"/>
      <c r="M18" s="8" t="s">
        <v>4</v>
      </c>
      <c r="N18" s="3">
        <v>65485</v>
      </c>
      <c r="O18" s="7">
        <v>2012620</v>
      </c>
      <c r="P18" s="7">
        <v>7681.7557251908393</v>
      </c>
      <c r="Q18" s="7">
        <v>249.94274809160305</v>
      </c>
    </row>
    <row r="19" spans="1:17" x14ac:dyDescent="0.35">
      <c r="M19" s="8" t="s">
        <v>5</v>
      </c>
      <c r="N19" s="3">
        <v>14368</v>
      </c>
      <c r="O19" s="7">
        <v>413115</v>
      </c>
      <c r="P19" s="7">
        <v>7001.9491525423728</v>
      </c>
      <c r="Q19" s="7">
        <v>243.52542372881356</v>
      </c>
    </row>
    <row r="20" spans="1:17" x14ac:dyDescent="0.35">
      <c r="M20" s="8" t="s">
        <v>6</v>
      </c>
      <c r="N20" s="3">
        <v>12758</v>
      </c>
      <c r="O20" s="7">
        <v>381666</v>
      </c>
      <c r="P20" s="7">
        <v>7201.2452830188677</v>
      </c>
      <c r="Q20" s="7">
        <v>240.71698113207546</v>
      </c>
    </row>
    <row r="21" spans="1:17" x14ac:dyDescent="0.35">
      <c r="M21" s="8" t="s">
        <v>7</v>
      </c>
      <c r="N21" s="3">
        <v>65083</v>
      </c>
      <c r="O21" s="7">
        <v>2051971</v>
      </c>
      <c r="P21" s="7">
        <v>7743.28679245283</v>
      </c>
      <c r="Q21" s="7">
        <v>245.59622641509435</v>
      </c>
    </row>
    <row r="22" spans="1:17" x14ac:dyDescent="0.35">
      <c r="M22" s="6" t="s">
        <v>16</v>
      </c>
      <c r="N22" s="7"/>
      <c r="O22" s="7"/>
      <c r="P22" s="7"/>
      <c r="Q22" s="7"/>
    </row>
    <row r="23" spans="1:17" x14ac:dyDescent="0.35">
      <c r="M23" s="8" t="s">
        <v>4</v>
      </c>
      <c r="N23" s="3">
        <v>60156</v>
      </c>
      <c r="O23" s="7">
        <v>1805505</v>
      </c>
      <c r="P23" s="7">
        <v>7399.6106557377052</v>
      </c>
      <c r="Q23" s="7">
        <v>246.54098360655738</v>
      </c>
    </row>
    <row r="24" spans="1:17" x14ac:dyDescent="0.35">
      <c r="A24" s="5" t="s">
        <v>72</v>
      </c>
      <c r="B24" s="14" t="s" vm="4">
        <v>81</v>
      </c>
      <c r="M24" s="8" t="s">
        <v>5</v>
      </c>
      <c r="N24" s="3">
        <v>15818</v>
      </c>
      <c r="O24" s="7">
        <v>453753</v>
      </c>
      <c r="P24" s="7">
        <v>7823.3275862068967</v>
      </c>
      <c r="Q24" s="7">
        <v>272.72413793103448</v>
      </c>
    </row>
    <row r="25" spans="1:17" x14ac:dyDescent="0.35">
      <c r="A25" s="5" t="s">
        <v>74</v>
      </c>
      <c r="B25" s="14" t="s" vm="1">
        <v>73</v>
      </c>
      <c r="M25" s="8" t="s">
        <v>6</v>
      </c>
      <c r="N25" s="3">
        <v>12810</v>
      </c>
      <c r="O25" s="7">
        <v>410616</v>
      </c>
      <c r="P25" s="7">
        <v>7896.4615384615381</v>
      </c>
      <c r="Q25" s="7">
        <v>246.34615384615384</v>
      </c>
    </row>
    <row r="26" spans="1:17" x14ac:dyDescent="0.35">
      <c r="A26" s="5" t="s">
        <v>75</v>
      </c>
      <c r="B26" s="14" t="s" vm="2">
        <v>73</v>
      </c>
      <c r="M26" s="8" t="s">
        <v>7</v>
      </c>
      <c r="N26" s="3">
        <v>60693</v>
      </c>
      <c r="O26" s="7">
        <v>2036014</v>
      </c>
      <c r="P26" s="7">
        <v>7861.0579150579151</v>
      </c>
      <c r="Q26" s="7">
        <v>234.33590733590734</v>
      </c>
    </row>
    <row r="27" spans="1:17" x14ac:dyDescent="0.35">
      <c r="A27" s="5" t="s">
        <v>76</v>
      </c>
      <c r="B27" s="14" t="s" vm="3">
        <v>73</v>
      </c>
      <c r="M27" s="6" t="s">
        <v>17</v>
      </c>
      <c r="N27" s="7"/>
      <c r="O27" s="7"/>
      <c r="P27" s="7"/>
      <c r="Q27" s="7"/>
    </row>
    <row r="28" spans="1:17" x14ac:dyDescent="0.35">
      <c r="A28" s="23" t="s">
        <v>57</v>
      </c>
      <c r="B28" s="24"/>
      <c r="M28" s="8" t="s">
        <v>4</v>
      </c>
      <c r="N28" s="3">
        <v>66323</v>
      </c>
      <c r="O28" s="7">
        <v>1994042</v>
      </c>
      <c r="P28" s="7">
        <v>7728.8449612403101</v>
      </c>
      <c r="Q28" s="7">
        <v>257.0658914728682</v>
      </c>
    </row>
    <row r="29" spans="1:17" x14ac:dyDescent="0.35">
      <c r="A29" s="5" t="s">
        <v>34</v>
      </c>
      <c r="B29" s="5" t="s">
        <v>19</v>
      </c>
      <c r="M29" s="8" t="s">
        <v>5</v>
      </c>
      <c r="N29" s="3">
        <v>11536</v>
      </c>
      <c r="O29" s="7">
        <v>392494</v>
      </c>
      <c r="P29" s="7">
        <v>7849.88</v>
      </c>
      <c r="Q29" s="7">
        <v>230.72</v>
      </c>
    </row>
    <row r="30" spans="1:17" x14ac:dyDescent="0.35">
      <c r="A30" s="5" t="s">
        <v>35</v>
      </c>
      <c r="B30" s="14" t="s">
        <v>4</v>
      </c>
      <c r="C30" s="14" t="s">
        <v>5</v>
      </c>
      <c r="D30" s="14" t="s">
        <v>6</v>
      </c>
      <c r="E30" s="14" t="s">
        <v>7</v>
      </c>
      <c r="M30" s="8" t="s">
        <v>6</v>
      </c>
      <c r="N30" s="3">
        <v>13888</v>
      </c>
      <c r="O30" s="7">
        <v>452115</v>
      </c>
      <c r="P30" s="7">
        <v>7662.9661016949149</v>
      </c>
      <c r="Q30" s="7">
        <v>235.38983050847457</v>
      </c>
    </row>
    <row r="31" spans="1:17" x14ac:dyDescent="0.35">
      <c r="A31" s="6" t="s">
        <v>26</v>
      </c>
      <c r="B31" s="2">
        <v>5.1590909090909101</v>
      </c>
      <c r="C31" s="2">
        <v>4.7732142857142863</v>
      </c>
      <c r="D31" s="2">
        <v>5.1912280701754385</v>
      </c>
      <c r="E31" s="2">
        <v>4.954140127388535</v>
      </c>
      <c r="M31" s="8" t="s">
        <v>7</v>
      </c>
      <c r="N31" s="3">
        <v>62893</v>
      </c>
      <c r="O31" s="7">
        <v>1959114</v>
      </c>
      <c r="P31" s="7">
        <v>7420.886363636364</v>
      </c>
      <c r="Q31" s="7">
        <v>238.23106060606059</v>
      </c>
    </row>
    <row r="32" spans="1:17" x14ac:dyDescent="0.35">
      <c r="A32" s="6" t="s">
        <v>27</v>
      </c>
      <c r="B32" s="2">
        <v>5.2976470588235305</v>
      </c>
      <c r="C32" s="2">
        <v>4.5255319148936177</v>
      </c>
      <c r="D32" s="2">
        <v>4.8500000000000005</v>
      </c>
      <c r="E32" s="2">
        <v>5.1041916167664692</v>
      </c>
    </row>
    <row r="33" spans="1:17" x14ac:dyDescent="0.35">
      <c r="A33" s="6" t="s">
        <v>28</v>
      </c>
      <c r="B33" s="2">
        <v>4.7294478527607335</v>
      </c>
      <c r="C33" s="2"/>
      <c r="D33" s="2"/>
      <c r="E33" s="2">
        <v>5.2067114093959708</v>
      </c>
    </row>
    <row r="34" spans="1:17" x14ac:dyDescent="0.35">
      <c r="A34" s="6" t="s">
        <v>29</v>
      </c>
      <c r="B34" s="2">
        <v>4.9265822784810123</v>
      </c>
      <c r="C34" s="2">
        <v>5.0867924528301902</v>
      </c>
      <c r="D34" s="2">
        <v>4.3229166666666661</v>
      </c>
      <c r="E34" s="2">
        <v>4.909411764705883</v>
      </c>
      <c r="M34" s="5" t="s">
        <v>72</v>
      </c>
      <c r="N34" s="14" t="s" vm="4">
        <v>81</v>
      </c>
    </row>
    <row r="35" spans="1:17" x14ac:dyDescent="0.35">
      <c r="A35" s="6" t="s">
        <v>30</v>
      </c>
      <c r="B35" s="2">
        <v>4.7655844155844136</v>
      </c>
      <c r="C35" s="2"/>
      <c r="D35" s="2"/>
      <c r="E35" s="2">
        <v>5.0744966442953041</v>
      </c>
      <c r="M35" s="5" t="s">
        <v>76</v>
      </c>
      <c r="N35" s="14" t="s" vm="3">
        <v>73</v>
      </c>
    </row>
    <row r="36" spans="1:17" x14ac:dyDescent="0.35">
      <c r="A36" s="6" t="s">
        <v>31</v>
      </c>
      <c r="B36" s="2">
        <v>4.9369942196531778</v>
      </c>
      <c r="C36" s="2">
        <v>4.9352941176470591</v>
      </c>
      <c r="D36" s="2">
        <v>4.6215686274509808</v>
      </c>
      <c r="E36" s="2">
        <v>5.2527607361963202</v>
      </c>
      <c r="M36" s="5" t="s">
        <v>75</v>
      </c>
      <c r="N36" s="14" t="s" vm="2">
        <v>73</v>
      </c>
    </row>
    <row r="37" spans="1:17" x14ac:dyDescent="0.35">
      <c r="A37" s="6" t="s">
        <v>32</v>
      </c>
      <c r="B37" s="2">
        <v>4.9969696969696971</v>
      </c>
      <c r="C37" s="2">
        <v>5.2558823529411764</v>
      </c>
      <c r="D37" s="2">
        <v>5.2769230769230777</v>
      </c>
      <c r="E37" s="2">
        <v>4.9852071005917162</v>
      </c>
      <c r="M37" s="5" t="s">
        <v>74</v>
      </c>
      <c r="N37" s="14" t="s" vm="1">
        <v>73</v>
      </c>
    </row>
    <row r="38" spans="1:17" x14ac:dyDescent="0.35">
      <c r="A38" s="6" t="s">
        <v>33</v>
      </c>
      <c r="B38" s="2">
        <v>5.0366459627329201</v>
      </c>
      <c r="C38" s="2">
        <v>5.3414634146341458</v>
      </c>
      <c r="D38" s="2">
        <v>5.2428571428571429</v>
      </c>
      <c r="E38" s="2">
        <v>5.0636942675159196</v>
      </c>
      <c r="M38" s="23" t="s">
        <v>56</v>
      </c>
      <c r="N38" s="24"/>
      <c r="O38" s="24"/>
      <c r="P38" s="24"/>
    </row>
    <row r="39" spans="1:17" x14ac:dyDescent="0.35">
      <c r="M39" s="5" t="s">
        <v>1</v>
      </c>
      <c r="N39" s="5" t="s">
        <v>19</v>
      </c>
    </row>
    <row r="40" spans="1:17" x14ac:dyDescent="0.35">
      <c r="M40" s="5" t="s">
        <v>25</v>
      </c>
      <c r="N40" s="14" t="s">
        <v>4</v>
      </c>
      <c r="O40" s="14" t="s">
        <v>5</v>
      </c>
      <c r="P40" s="14" t="s">
        <v>6</v>
      </c>
      <c r="Q40" s="14" t="s">
        <v>7</v>
      </c>
    </row>
    <row r="41" spans="1:17" x14ac:dyDescent="0.35">
      <c r="M41" s="6" t="s">
        <v>79</v>
      </c>
      <c r="N41" s="59">
        <v>0.75818348623853205</v>
      </c>
      <c r="O41" s="59">
        <v>0.74851898734177214</v>
      </c>
      <c r="P41" s="59">
        <v>0.71229032258064517</v>
      </c>
      <c r="Q41" s="59">
        <v>0.75303536977491958</v>
      </c>
    </row>
    <row r="42" spans="1:17" x14ac:dyDescent="0.35">
      <c r="M42" s="6" t="s">
        <v>80</v>
      </c>
      <c r="N42" s="59">
        <v>0.74635875216637781</v>
      </c>
      <c r="O42" s="59">
        <v>0.75697656250000001</v>
      </c>
      <c r="P42" s="59">
        <v>0.75648412698412693</v>
      </c>
      <c r="Q42" s="59">
        <v>0.75965982905982909</v>
      </c>
    </row>
    <row r="43" spans="1:17" x14ac:dyDescent="0.35">
      <c r="M43" s="6" t="s">
        <v>78</v>
      </c>
      <c r="N43" s="59">
        <v>0.75718028846153851</v>
      </c>
      <c r="O43" s="59">
        <v>0.76979347826086952</v>
      </c>
      <c r="P43" s="59">
        <v>0.76901190476190473</v>
      </c>
      <c r="Q43" s="59">
        <v>0.73883896103896096</v>
      </c>
    </row>
    <row r="51" spans="13:14" x14ac:dyDescent="0.35">
      <c r="M51" s="5" t="s">
        <v>72</v>
      </c>
      <c r="N51" t="s">
        <v>77</v>
      </c>
    </row>
    <row r="52" spans="13:14" x14ac:dyDescent="0.35">
      <c r="M52" s="6" t="s">
        <v>81</v>
      </c>
      <c r="N52" s="7">
        <v>3172</v>
      </c>
    </row>
    <row r="53" spans="13:14" x14ac:dyDescent="0.35">
      <c r="M53" s="6" t="s">
        <v>88</v>
      </c>
      <c r="N53" s="7">
        <v>3172</v>
      </c>
    </row>
  </sheetData>
  <mergeCells count="5">
    <mergeCell ref="F5:K5"/>
    <mergeCell ref="A5:D5"/>
    <mergeCell ref="M5:O5"/>
    <mergeCell ref="M38:P38"/>
    <mergeCell ref="A28:B28"/>
  </mergeCell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53162-3E5E-4FDE-9999-153FBA6CBCBF}">
  <dimension ref="A2:J29"/>
  <sheetViews>
    <sheetView workbookViewId="0">
      <selection activeCell="A2" sqref="A2:F2"/>
    </sheetView>
  </sheetViews>
  <sheetFormatPr defaultRowHeight="14.5" x14ac:dyDescent="0.35"/>
  <cols>
    <col min="1" max="1" width="16.453125" bestFit="1" customWidth="1"/>
    <col min="2" max="2" width="12" bestFit="1" customWidth="1"/>
    <col min="3" max="3" width="11.81640625" bestFit="1" customWidth="1"/>
    <col min="4" max="4" width="9" bestFit="1" customWidth="1"/>
    <col min="7" max="7" width="20.7265625" bestFit="1" customWidth="1"/>
    <col min="8" max="8" width="11.90625" bestFit="1" customWidth="1"/>
    <col min="9" max="9" width="10.7265625" bestFit="1" customWidth="1"/>
  </cols>
  <sheetData>
    <row r="2" spans="1:10" x14ac:dyDescent="0.35">
      <c r="A2" s="23" t="s">
        <v>125</v>
      </c>
      <c r="B2" s="23"/>
      <c r="C2" s="23"/>
      <c r="D2" s="23"/>
      <c r="E2" s="23"/>
      <c r="F2" s="23"/>
    </row>
    <row r="3" spans="1:10" x14ac:dyDescent="0.35">
      <c r="A3" s="5" t="s">
        <v>87</v>
      </c>
      <c r="B3" s="14" t="s">
        <v>89</v>
      </c>
      <c r="C3" s="14" t="s">
        <v>90</v>
      </c>
      <c r="D3" s="14" t="s">
        <v>77</v>
      </c>
      <c r="G3" s="10" t="s">
        <v>91</v>
      </c>
      <c r="H3" s="10" t="s">
        <v>89</v>
      </c>
      <c r="I3" s="10" t="s">
        <v>90</v>
      </c>
      <c r="J3" s="10" t="s">
        <v>77</v>
      </c>
    </row>
    <row r="4" spans="1:10" x14ac:dyDescent="0.35">
      <c r="A4" s="6" t="s">
        <v>13</v>
      </c>
      <c r="B4" s="7"/>
      <c r="C4" s="7"/>
      <c r="D4" s="7"/>
      <c r="G4" t="s">
        <v>92</v>
      </c>
      <c r="H4">
        <v>7919.0036900369005</v>
      </c>
      <c r="I4">
        <v>241.16974169741698</v>
      </c>
      <c r="J4">
        <v>271</v>
      </c>
    </row>
    <row r="5" spans="1:10" x14ac:dyDescent="0.35">
      <c r="A5" s="8" t="s">
        <v>4</v>
      </c>
      <c r="B5" s="7">
        <v>7919.0036900369005</v>
      </c>
      <c r="C5" s="7">
        <v>241.16974169741698</v>
      </c>
      <c r="D5" s="7">
        <v>271</v>
      </c>
      <c r="G5" t="s">
        <v>93</v>
      </c>
      <c r="H5">
        <v>7993.3955555555558</v>
      </c>
      <c r="I5">
        <v>244.31555555555556</v>
      </c>
      <c r="J5">
        <v>225</v>
      </c>
    </row>
    <row r="6" spans="1:10" x14ac:dyDescent="0.35">
      <c r="A6" s="8" t="s">
        <v>5</v>
      </c>
      <c r="B6" s="7">
        <v>7866.8275862068967</v>
      </c>
      <c r="C6" s="7">
        <v>236.91379310344828</v>
      </c>
      <c r="D6" s="7">
        <v>58</v>
      </c>
      <c r="G6" t="s">
        <v>94</v>
      </c>
      <c r="H6">
        <v>7334.5947136563873</v>
      </c>
      <c r="I6">
        <v>251.66519823788545</v>
      </c>
      <c r="J6">
        <v>227</v>
      </c>
    </row>
    <row r="7" spans="1:10" x14ac:dyDescent="0.35">
      <c r="A7" s="8" t="s">
        <v>6</v>
      </c>
      <c r="B7" s="7">
        <v>7110.5901639344265</v>
      </c>
      <c r="C7" s="7">
        <v>255.37704918032787</v>
      </c>
      <c r="D7" s="7">
        <v>61</v>
      </c>
      <c r="G7" t="s">
        <v>95</v>
      </c>
      <c r="H7">
        <v>7616.093220338983</v>
      </c>
      <c r="I7">
        <v>254.65677966101694</v>
      </c>
      <c r="J7">
        <v>236</v>
      </c>
    </row>
    <row r="8" spans="1:10" x14ac:dyDescent="0.35">
      <c r="A8" s="8" t="s">
        <v>7</v>
      </c>
      <c r="B8" s="7">
        <v>7616.093220338983</v>
      </c>
      <c r="C8" s="7">
        <v>254.65677966101694</v>
      </c>
      <c r="D8" s="7">
        <v>236</v>
      </c>
      <c r="G8" t="s">
        <v>96</v>
      </c>
      <c r="H8">
        <v>8036.0385964912284</v>
      </c>
      <c r="I8">
        <v>244.82456140350877</v>
      </c>
      <c r="J8">
        <v>285</v>
      </c>
    </row>
    <row r="9" spans="1:10" x14ac:dyDescent="0.35">
      <c r="A9" s="6" t="s">
        <v>14</v>
      </c>
      <c r="B9" s="7"/>
      <c r="C9" s="7"/>
      <c r="D9" s="7"/>
      <c r="G9" t="s">
        <v>97</v>
      </c>
      <c r="H9">
        <v>7832.7246963562757</v>
      </c>
      <c r="I9">
        <v>260.87854251012146</v>
      </c>
      <c r="J9">
        <v>247</v>
      </c>
    </row>
    <row r="10" spans="1:10" x14ac:dyDescent="0.35">
      <c r="A10" s="8" t="s">
        <v>4</v>
      </c>
      <c r="B10" s="7">
        <v>8036.0385964912284</v>
      </c>
      <c r="C10" s="7">
        <v>244.82456140350877</v>
      </c>
      <c r="D10" s="7">
        <v>285</v>
      </c>
      <c r="G10" t="s">
        <v>98</v>
      </c>
      <c r="H10">
        <v>7487.8678414096912</v>
      </c>
      <c r="I10">
        <v>252.17180616740089</v>
      </c>
      <c r="J10">
        <v>227</v>
      </c>
    </row>
    <row r="11" spans="1:10" x14ac:dyDescent="0.35">
      <c r="A11" s="8" t="s">
        <v>5</v>
      </c>
      <c r="B11" s="7">
        <v>7983.6756756756758</v>
      </c>
      <c r="C11" s="7">
        <v>265.72972972972974</v>
      </c>
      <c r="D11" s="7">
        <v>74</v>
      </c>
      <c r="G11" t="s">
        <v>99</v>
      </c>
      <c r="H11">
        <v>7604.9494163424124</v>
      </c>
      <c r="I11">
        <v>235.45136186770429</v>
      </c>
      <c r="J11">
        <v>257</v>
      </c>
    </row>
    <row r="12" spans="1:10" x14ac:dyDescent="0.35">
      <c r="A12" s="8" t="s">
        <v>6</v>
      </c>
      <c r="B12" s="7">
        <v>8393.0851063829796</v>
      </c>
      <c r="C12" s="7">
        <v>263.06382978723406</v>
      </c>
      <c r="D12" s="7">
        <v>47</v>
      </c>
      <c r="G12" s="14" t="s">
        <v>100</v>
      </c>
      <c r="H12">
        <v>7681.7557251908393</v>
      </c>
      <c r="I12">
        <v>249.94274809160305</v>
      </c>
      <c r="J12">
        <v>262</v>
      </c>
    </row>
    <row r="13" spans="1:10" x14ac:dyDescent="0.35">
      <c r="A13" s="8" t="s">
        <v>7</v>
      </c>
      <c r="B13" s="7">
        <v>7604.9494163424124</v>
      </c>
      <c r="C13" s="7">
        <v>235.45136186770429</v>
      </c>
      <c r="D13" s="7">
        <v>257</v>
      </c>
      <c r="G13" s="14" t="s">
        <v>101</v>
      </c>
      <c r="H13">
        <v>7467.0762711864409</v>
      </c>
      <c r="I13">
        <v>241.53389830508473</v>
      </c>
      <c r="J13">
        <v>236</v>
      </c>
    </row>
    <row r="14" spans="1:10" x14ac:dyDescent="0.35">
      <c r="A14" s="6" t="s">
        <v>15</v>
      </c>
      <c r="B14" s="7"/>
      <c r="C14" s="7"/>
      <c r="D14" s="7"/>
      <c r="G14" s="14" t="s">
        <v>102</v>
      </c>
      <c r="H14">
        <v>7719.040650406504</v>
      </c>
      <c r="I14">
        <v>238.02845528455285</v>
      </c>
      <c r="J14">
        <v>246</v>
      </c>
    </row>
    <row r="15" spans="1:10" x14ac:dyDescent="0.35">
      <c r="A15" s="8" t="s">
        <v>4</v>
      </c>
      <c r="B15" s="7">
        <v>7681.7557251908393</v>
      </c>
      <c r="C15" s="7">
        <v>249.94274809160305</v>
      </c>
      <c r="D15" s="7">
        <v>262</v>
      </c>
      <c r="G15" s="14" t="s">
        <v>103</v>
      </c>
      <c r="H15">
        <v>7743.28679245283</v>
      </c>
      <c r="I15">
        <v>245.59622641509435</v>
      </c>
      <c r="J15">
        <v>265</v>
      </c>
    </row>
    <row r="16" spans="1:10" x14ac:dyDescent="0.35">
      <c r="A16" s="8" t="s">
        <v>5</v>
      </c>
      <c r="B16" s="7">
        <v>7001.9491525423728</v>
      </c>
      <c r="C16" s="7">
        <v>243.52542372881356</v>
      </c>
      <c r="D16" s="7">
        <v>59</v>
      </c>
      <c r="G16" s="14" t="s">
        <v>104</v>
      </c>
      <c r="H16">
        <v>7399.6106557377052</v>
      </c>
      <c r="I16">
        <v>246.54098360655738</v>
      </c>
      <c r="J16">
        <v>244</v>
      </c>
    </row>
    <row r="17" spans="1:10" x14ac:dyDescent="0.35">
      <c r="A17" s="8" t="s">
        <v>6</v>
      </c>
      <c r="B17" s="7">
        <v>7201.2452830188677</v>
      </c>
      <c r="C17" s="7">
        <v>240.71698113207546</v>
      </c>
      <c r="D17" s="7">
        <v>53</v>
      </c>
      <c r="G17" s="14" t="s">
        <v>105</v>
      </c>
      <c r="H17">
        <v>8003.4959349593491</v>
      </c>
      <c r="I17">
        <v>255.58943089430895</v>
      </c>
      <c r="J17">
        <v>246</v>
      </c>
    </row>
    <row r="18" spans="1:10" x14ac:dyDescent="0.35">
      <c r="A18" s="8" t="s">
        <v>7</v>
      </c>
      <c r="B18" s="7">
        <v>7743.28679245283</v>
      </c>
      <c r="C18" s="7">
        <v>245.59622641509435</v>
      </c>
      <c r="D18" s="7">
        <v>265</v>
      </c>
      <c r="G18" s="14" t="s">
        <v>106</v>
      </c>
      <c r="H18">
        <v>7704.0505836575876</v>
      </c>
      <c r="I18">
        <v>237.63813229571986</v>
      </c>
      <c r="J18">
        <v>257</v>
      </c>
    </row>
    <row r="19" spans="1:10" x14ac:dyDescent="0.35">
      <c r="A19" s="6" t="s">
        <v>16</v>
      </c>
      <c r="B19" s="7"/>
      <c r="C19" s="7"/>
      <c r="D19" s="7"/>
      <c r="G19" s="14" t="s">
        <v>107</v>
      </c>
      <c r="H19">
        <v>7861.0579150579151</v>
      </c>
      <c r="I19">
        <v>234.33590733590734</v>
      </c>
      <c r="J19">
        <v>259</v>
      </c>
    </row>
    <row r="20" spans="1:10" x14ac:dyDescent="0.35">
      <c r="A20" s="8" t="s">
        <v>4</v>
      </c>
      <c r="B20" s="7">
        <v>7399.6106557377052</v>
      </c>
      <c r="C20" s="7">
        <v>246.54098360655738</v>
      </c>
      <c r="D20" s="7">
        <v>244</v>
      </c>
      <c r="G20" t="s">
        <v>108</v>
      </c>
      <c r="H20">
        <v>7728.8449612403101</v>
      </c>
      <c r="I20">
        <v>257.0658914728682</v>
      </c>
      <c r="J20">
        <v>258</v>
      </c>
    </row>
    <row r="21" spans="1:10" x14ac:dyDescent="0.35">
      <c r="A21" s="8" t="s">
        <v>5</v>
      </c>
      <c r="B21" s="7">
        <v>7823.3275862068967</v>
      </c>
      <c r="C21" s="7">
        <v>272.72413793103448</v>
      </c>
      <c r="D21" s="7">
        <v>58</v>
      </c>
      <c r="G21" t="s">
        <v>109</v>
      </c>
      <c r="H21">
        <v>7751.5021645021643</v>
      </c>
      <c r="I21">
        <v>252.43290043290042</v>
      </c>
      <c r="J21">
        <v>231</v>
      </c>
    </row>
    <row r="22" spans="1:10" x14ac:dyDescent="0.35">
      <c r="A22" s="8" t="s">
        <v>6</v>
      </c>
      <c r="B22" s="7">
        <v>7896.4615384615381</v>
      </c>
      <c r="C22" s="7">
        <v>246.34615384615384</v>
      </c>
      <c r="D22" s="7">
        <v>52</v>
      </c>
      <c r="G22" t="s">
        <v>110</v>
      </c>
      <c r="H22">
        <v>7682.770428015564</v>
      </c>
      <c r="I22">
        <v>246.1556420233463</v>
      </c>
      <c r="J22">
        <v>257</v>
      </c>
    </row>
    <row r="23" spans="1:10" x14ac:dyDescent="0.35">
      <c r="A23" s="8" t="s">
        <v>7</v>
      </c>
      <c r="B23" s="7">
        <v>7861.0579150579151</v>
      </c>
      <c r="C23" s="7">
        <v>234.33590733590734</v>
      </c>
      <c r="D23" s="7">
        <v>259</v>
      </c>
      <c r="G23" t="s">
        <v>111</v>
      </c>
      <c r="H23">
        <v>7420.886363636364</v>
      </c>
      <c r="I23">
        <v>238.23106060606059</v>
      </c>
      <c r="J23">
        <v>264</v>
      </c>
    </row>
    <row r="24" spans="1:10" x14ac:dyDescent="0.35">
      <c r="A24" s="6" t="s">
        <v>17</v>
      </c>
      <c r="B24" s="7"/>
      <c r="C24" s="7"/>
      <c r="D24" s="7"/>
    </row>
    <row r="25" spans="1:10" x14ac:dyDescent="0.35">
      <c r="A25" s="8" t="s">
        <v>4</v>
      </c>
      <c r="B25" s="7">
        <v>7728.8449612403101</v>
      </c>
      <c r="C25" s="7">
        <v>257.0658914728682</v>
      </c>
      <c r="D25" s="7">
        <v>258</v>
      </c>
    </row>
    <row r="26" spans="1:10" x14ac:dyDescent="0.35">
      <c r="A26" s="8" t="s">
        <v>5</v>
      </c>
      <c r="B26" s="7">
        <v>7849.88</v>
      </c>
      <c r="C26" s="7">
        <v>230.72</v>
      </c>
      <c r="D26" s="7">
        <v>50</v>
      </c>
    </row>
    <row r="27" spans="1:10" x14ac:dyDescent="0.35">
      <c r="A27" s="8" t="s">
        <v>6</v>
      </c>
      <c r="B27" s="7">
        <v>7662.9661016949149</v>
      </c>
      <c r="C27" s="7">
        <v>235.38983050847457</v>
      </c>
      <c r="D27" s="7">
        <v>59</v>
      </c>
    </row>
    <row r="28" spans="1:10" x14ac:dyDescent="0.35">
      <c r="A28" s="8" t="s">
        <v>7</v>
      </c>
      <c r="B28" s="7">
        <v>7420.886363636364</v>
      </c>
      <c r="C28" s="7">
        <v>238.23106060606059</v>
      </c>
      <c r="D28" s="7">
        <v>264</v>
      </c>
    </row>
    <row r="29" spans="1:10" x14ac:dyDescent="0.35">
      <c r="A29" s="6" t="s">
        <v>88</v>
      </c>
      <c r="B29" s="7">
        <v>7700.6636191677171</v>
      </c>
      <c r="C29" s="7">
        <v>245.5548549810845</v>
      </c>
      <c r="D29" s="7">
        <v>3172</v>
      </c>
    </row>
  </sheetData>
  <mergeCells count="1">
    <mergeCell ref="A2:F2"/>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10D00-59F9-433C-BD05-27C89F582F60}">
  <dimension ref="A2:B11"/>
  <sheetViews>
    <sheetView workbookViewId="0">
      <selection activeCell="A6" sqref="A6"/>
    </sheetView>
  </sheetViews>
  <sheetFormatPr defaultRowHeight="14.5" x14ac:dyDescent="0.35"/>
  <cols>
    <col min="1" max="1" width="10.453125" bestFit="1" customWidth="1"/>
    <col min="2" max="2" width="12.453125" bestFit="1" customWidth="1"/>
  </cols>
  <sheetData>
    <row r="2" spans="1:2" x14ac:dyDescent="0.35">
      <c r="A2" s="10" t="s">
        <v>65</v>
      </c>
      <c r="B2" s="10" t="s">
        <v>66</v>
      </c>
    </row>
    <row r="3" spans="1:2" x14ac:dyDescent="0.35">
      <c r="A3" t="s">
        <v>33</v>
      </c>
      <c r="B3" t="s">
        <v>67</v>
      </c>
    </row>
    <row r="4" spans="1:2" x14ac:dyDescent="0.35">
      <c r="A4" t="s">
        <v>32</v>
      </c>
      <c r="B4" t="s">
        <v>67</v>
      </c>
    </row>
    <row r="5" spans="1:2" x14ac:dyDescent="0.35">
      <c r="A5" t="s">
        <v>27</v>
      </c>
      <c r="B5" t="s">
        <v>67</v>
      </c>
    </row>
    <row r="6" spans="1:2" x14ac:dyDescent="0.35">
      <c r="A6" t="s">
        <v>28</v>
      </c>
      <c r="B6" t="s">
        <v>68</v>
      </c>
    </row>
    <row r="7" spans="1:2" x14ac:dyDescent="0.35">
      <c r="A7" t="s">
        <v>31</v>
      </c>
      <c r="B7" t="s">
        <v>69</v>
      </c>
    </row>
    <row r="8" spans="1:2" x14ac:dyDescent="0.35">
      <c r="A8" t="s">
        <v>26</v>
      </c>
      <c r="B8" t="s">
        <v>69</v>
      </c>
    </row>
    <row r="9" spans="1:2" x14ac:dyDescent="0.35">
      <c r="A9" t="s">
        <v>29</v>
      </c>
      <c r="B9" t="s">
        <v>69</v>
      </c>
    </row>
    <row r="10" spans="1:2" x14ac:dyDescent="0.35">
      <c r="A10" t="s">
        <v>70</v>
      </c>
      <c r="B10" t="s">
        <v>69</v>
      </c>
    </row>
    <row r="11" spans="1:2" x14ac:dyDescent="0.35">
      <c r="A11" t="s">
        <v>30</v>
      </c>
      <c r="B11" t="s">
        <v>71</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54F6F-46C0-4FEA-BDAC-4F65712AE4C4}">
  <dimension ref="D1:N4"/>
  <sheetViews>
    <sheetView showGridLines="0" tabSelected="1" topLeftCell="A6" zoomScaleNormal="100" workbookViewId="0">
      <selection activeCell="Q4" sqref="Q4"/>
    </sheetView>
  </sheetViews>
  <sheetFormatPr defaultRowHeight="14.5" x14ac:dyDescent="0.35"/>
  <sheetData>
    <row r="1" spans="4:14" s="14" customFormat="1" ht="16" thickBot="1" x14ac:dyDescent="0.4">
      <c r="F1" s="41" t="s">
        <v>120</v>
      </c>
      <c r="G1" s="42"/>
      <c r="H1" s="42"/>
      <c r="I1" s="42"/>
      <c r="J1" s="42"/>
      <c r="K1" s="42"/>
      <c r="L1" s="43"/>
    </row>
    <row r="2" spans="4:14" ht="16" thickBot="1" x14ac:dyDescent="0.4">
      <c r="D2" s="10" t="s">
        <v>22</v>
      </c>
      <c r="G2" s="9" t="s">
        <v>133</v>
      </c>
      <c r="J2" s="9" t="s">
        <v>23</v>
      </c>
      <c r="M2" s="11" t="s">
        <v>24</v>
      </c>
    </row>
    <row r="3" spans="4:14" x14ac:dyDescent="0.35">
      <c r="D3" s="25">
        <f>GETPIVOTDATA("[Measures].[Avg_Lead_Time]",'Pivot Analysis'!$A$6)</f>
        <v>20.050126103404793</v>
      </c>
      <c r="E3" s="26"/>
      <c r="G3" s="29">
        <f>GETPIVOTDATA("[Measures].[Avg_Reliability]",'Pivot Analysis'!$A$6)</f>
        <v>0.75269010088272381</v>
      </c>
      <c r="H3" s="30"/>
      <c r="J3" s="33">
        <f>GETPIVOTDATA("[Measures].[Total_Weight_MT]",'Pivot Analysis'!$A$6)</f>
        <v>778900</v>
      </c>
      <c r="K3" s="34"/>
      <c r="M3" s="37">
        <f>GETPIVOTDATA("[Measures].[Disruption_Rate_PCT]",'Pivot Analysis'!$A$6)</f>
        <v>0.61254728877679698</v>
      </c>
      <c r="N3" s="38"/>
    </row>
    <row r="4" spans="4:14" ht="15" thickBot="1" x14ac:dyDescent="0.4">
      <c r="D4" s="27"/>
      <c r="E4" s="28"/>
      <c r="G4" s="31"/>
      <c r="H4" s="32"/>
      <c r="J4" s="35"/>
      <c r="K4" s="36"/>
      <c r="M4" s="39"/>
      <c r="N4" s="40"/>
    </row>
  </sheetData>
  <mergeCells count="5">
    <mergeCell ref="D3:E4"/>
    <mergeCell ref="G3:H4"/>
    <mergeCell ref="J3:K4"/>
    <mergeCell ref="M3:N4"/>
    <mergeCell ref="F1:L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1556E-3394-42DF-B25C-BACE74955008}">
  <dimension ref="B2:R72"/>
  <sheetViews>
    <sheetView topLeftCell="A51" zoomScale="95" zoomScaleNormal="95" workbookViewId="0">
      <selection sqref="A1:C1"/>
    </sheetView>
  </sheetViews>
  <sheetFormatPr defaultRowHeight="14.5" x14ac:dyDescent="0.35"/>
  <sheetData>
    <row r="2" spans="2:18" ht="21" x14ac:dyDescent="0.35">
      <c r="B2" s="45" t="s">
        <v>47</v>
      </c>
      <c r="C2" s="45"/>
      <c r="D2" s="45"/>
      <c r="E2" s="45"/>
      <c r="F2" s="45"/>
      <c r="G2" s="45"/>
      <c r="H2" s="45"/>
      <c r="I2" s="45"/>
      <c r="J2" s="45"/>
      <c r="K2" s="45"/>
      <c r="L2" s="45"/>
      <c r="M2" s="45"/>
      <c r="N2" s="45"/>
      <c r="O2" s="45"/>
      <c r="P2" s="45"/>
      <c r="Q2" s="45"/>
      <c r="R2" s="45"/>
    </row>
    <row r="3" spans="2:18" x14ac:dyDescent="0.35">
      <c r="B3" s="47"/>
      <c r="C3" s="47"/>
      <c r="D3" s="47"/>
      <c r="E3" s="47"/>
      <c r="F3" s="47"/>
      <c r="G3" s="47"/>
      <c r="H3" s="47"/>
      <c r="I3" s="47"/>
      <c r="J3" s="47"/>
      <c r="K3" s="47"/>
      <c r="L3" s="47"/>
      <c r="M3" s="47"/>
      <c r="N3" s="47"/>
      <c r="O3" s="47"/>
      <c r="P3" s="47"/>
      <c r="Q3" s="47"/>
      <c r="R3" s="47"/>
    </row>
    <row r="4" spans="2:18" ht="15.5" x14ac:dyDescent="0.35">
      <c r="B4" s="44" t="s">
        <v>48</v>
      </c>
      <c r="C4" s="44"/>
      <c r="D4" s="44"/>
      <c r="E4" s="44"/>
      <c r="F4" s="44"/>
      <c r="G4" s="44"/>
      <c r="H4" s="44"/>
      <c r="I4" s="44"/>
      <c r="J4" s="44"/>
      <c r="K4" s="44"/>
      <c r="L4" s="44"/>
      <c r="M4" s="44"/>
      <c r="N4" s="44"/>
      <c r="O4" s="44"/>
      <c r="P4" s="44"/>
      <c r="Q4" s="44"/>
      <c r="R4" s="44"/>
    </row>
    <row r="5" spans="2:18" ht="14.5" customHeight="1" x14ac:dyDescent="0.35">
      <c r="B5" s="17" t="s">
        <v>121</v>
      </c>
      <c r="C5" s="17"/>
      <c r="D5" s="17"/>
      <c r="E5" s="17"/>
      <c r="F5" s="17"/>
      <c r="G5" s="17"/>
      <c r="H5" s="17"/>
      <c r="I5" s="17"/>
      <c r="J5" s="17"/>
      <c r="K5" s="17"/>
      <c r="L5" s="17"/>
      <c r="M5" s="17"/>
      <c r="N5" s="17"/>
      <c r="O5" s="17"/>
      <c r="P5" s="17"/>
      <c r="Q5" s="17"/>
      <c r="R5" s="17"/>
    </row>
    <row r="6" spans="2:18" x14ac:dyDescent="0.35">
      <c r="B6" s="17"/>
      <c r="C6" s="17"/>
      <c r="D6" s="17"/>
      <c r="E6" s="17"/>
      <c r="F6" s="17"/>
      <c r="G6" s="17"/>
      <c r="H6" s="17"/>
      <c r="I6" s="17"/>
      <c r="J6" s="17"/>
      <c r="K6" s="17"/>
      <c r="L6" s="17"/>
      <c r="M6" s="17"/>
      <c r="N6" s="17"/>
      <c r="O6" s="17"/>
      <c r="P6" s="17"/>
      <c r="Q6" s="17"/>
      <c r="R6" s="17"/>
    </row>
    <row r="7" spans="2:18" x14ac:dyDescent="0.35">
      <c r="B7" s="17" t="s">
        <v>122</v>
      </c>
      <c r="C7" s="17"/>
      <c r="D7" s="17"/>
      <c r="E7" s="17"/>
      <c r="F7" s="17"/>
      <c r="G7" s="17"/>
      <c r="H7" s="17"/>
      <c r="I7" s="17"/>
      <c r="J7" s="17"/>
      <c r="K7" s="17"/>
      <c r="L7" s="17"/>
      <c r="M7" s="17"/>
      <c r="N7" s="17"/>
      <c r="O7" s="17"/>
      <c r="P7" s="17"/>
      <c r="Q7" s="17"/>
      <c r="R7" s="17"/>
    </row>
    <row r="8" spans="2:18" x14ac:dyDescent="0.35">
      <c r="B8" s="17"/>
      <c r="C8" s="17"/>
      <c r="D8" s="17"/>
      <c r="E8" s="17"/>
      <c r="F8" s="17"/>
      <c r="G8" s="17"/>
      <c r="H8" s="17"/>
      <c r="I8" s="17"/>
      <c r="J8" s="17"/>
      <c r="K8" s="17"/>
      <c r="L8" s="17"/>
      <c r="M8" s="17"/>
      <c r="N8" s="17"/>
      <c r="O8" s="17"/>
      <c r="P8" s="17"/>
      <c r="Q8" s="17"/>
      <c r="R8" s="17"/>
    </row>
    <row r="9" spans="2:18" x14ac:dyDescent="0.35">
      <c r="B9" s="17"/>
      <c r="C9" s="17"/>
      <c r="D9" s="17"/>
      <c r="E9" s="17"/>
      <c r="F9" s="17"/>
      <c r="G9" s="17"/>
      <c r="H9" s="17"/>
      <c r="I9" s="17"/>
      <c r="J9" s="17"/>
      <c r="K9" s="17"/>
      <c r="L9" s="17"/>
      <c r="M9" s="17"/>
      <c r="N9" s="17"/>
      <c r="O9" s="17"/>
      <c r="P9" s="17"/>
      <c r="Q9" s="17"/>
      <c r="R9" s="17"/>
    </row>
    <row r="10" spans="2:18" s="14" customFormat="1" x14ac:dyDescent="0.35">
      <c r="B10" s="17" t="s">
        <v>123</v>
      </c>
      <c r="C10" s="17"/>
      <c r="D10" s="17"/>
      <c r="E10" s="17"/>
      <c r="F10" s="17"/>
      <c r="G10" s="17"/>
      <c r="H10" s="17"/>
      <c r="I10" s="17"/>
      <c r="J10" s="17"/>
      <c r="K10" s="17"/>
      <c r="L10" s="17"/>
      <c r="M10" s="17"/>
      <c r="N10" s="17"/>
      <c r="O10" s="17"/>
      <c r="P10" s="17"/>
      <c r="Q10" s="17"/>
      <c r="R10" s="17"/>
    </row>
    <row r="11" spans="2:18" s="14" customFormat="1" x14ac:dyDescent="0.35">
      <c r="B11" s="17"/>
      <c r="C11" s="17"/>
      <c r="D11" s="17"/>
      <c r="E11" s="17"/>
      <c r="F11" s="17"/>
      <c r="G11" s="17"/>
      <c r="H11" s="17"/>
      <c r="I11" s="17"/>
      <c r="J11" s="17"/>
      <c r="K11" s="17"/>
      <c r="L11" s="17"/>
      <c r="M11" s="17"/>
      <c r="N11" s="17"/>
      <c r="O11" s="17"/>
      <c r="P11" s="17"/>
      <c r="Q11" s="17"/>
      <c r="R11" s="17"/>
    </row>
    <row r="12" spans="2:18" x14ac:dyDescent="0.35">
      <c r="B12" s="47"/>
      <c r="C12" s="47"/>
      <c r="D12" s="47"/>
      <c r="E12" s="47"/>
      <c r="F12" s="47"/>
      <c r="G12" s="47"/>
      <c r="H12" s="47"/>
      <c r="I12" s="47"/>
      <c r="J12" s="47"/>
      <c r="K12" s="47"/>
      <c r="L12" s="47"/>
      <c r="M12" s="47"/>
      <c r="N12" s="47"/>
      <c r="O12" s="47"/>
      <c r="P12" s="47"/>
      <c r="Q12" s="47"/>
      <c r="R12" s="47"/>
    </row>
    <row r="13" spans="2:18" ht="15.5" x14ac:dyDescent="0.35">
      <c r="B13" s="44" t="s">
        <v>49</v>
      </c>
      <c r="C13" s="44"/>
      <c r="D13" s="44"/>
      <c r="E13" s="44"/>
      <c r="F13" s="44"/>
      <c r="G13" s="44"/>
      <c r="H13" s="44"/>
      <c r="I13" s="44"/>
      <c r="J13" s="44"/>
      <c r="K13" s="44"/>
      <c r="L13" s="44"/>
      <c r="M13" s="44"/>
      <c r="N13" s="44"/>
      <c r="O13" s="44"/>
      <c r="P13" s="44"/>
      <c r="Q13" s="44"/>
      <c r="R13" s="44"/>
    </row>
    <row r="14" spans="2:18" x14ac:dyDescent="0.35">
      <c r="B14" s="17" t="s">
        <v>61</v>
      </c>
      <c r="C14" s="17"/>
      <c r="D14" s="17"/>
      <c r="E14" s="17"/>
      <c r="F14" s="17"/>
      <c r="G14" s="17"/>
      <c r="H14" s="17"/>
      <c r="I14" s="17"/>
      <c r="J14" s="17"/>
      <c r="K14" s="17"/>
      <c r="L14" s="17"/>
      <c r="M14" s="17"/>
      <c r="N14" s="17"/>
      <c r="O14" s="17"/>
      <c r="P14" s="17"/>
      <c r="Q14" s="17"/>
      <c r="R14" s="17"/>
    </row>
    <row r="15" spans="2:18" x14ac:dyDescent="0.35">
      <c r="B15" s="17"/>
      <c r="C15" s="17"/>
      <c r="D15" s="17"/>
      <c r="E15" s="17"/>
      <c r="F15" s="17"/>
      <c r="G15" s="17"/>
      <c r="H15" s="17"/>
      <c r="I15" s="17"/>
      <c r="J15" s="17"/>
      <c r="K15" s="17"/>
      <c r="L15" s="17"/>
      <c r="M15" s="17"/>
      <c r="N15" s="17"/>
      <c r="O15" s="17"/>
      <c r="P15" s="17"/>
      <c r="Q15" s="17"/>
      <c r="R15" s="17"/>
    </row>
    <row r="16" spans="2:18" x14ac:dyDescent="0.35">
      <c r="B16" s="47"/>
      <c r="C16" s="47"/>
      <c r="D16" s="47"/>
      <c r="E16" s="47"/>
      <c r="F16" s="47"/>
      <c r="G16" s="47"/>
      <c r="H16" s="47"/>
      <c r="I16" s="47"/>
      <c r="J16" s="47"/>
      <c r="K16" s="47"/>
      <c r="L16" s="47"/>
      <c r="M16" s="47"/>
      <c r="N16" s="47"/>
      <c r="O16" s="47"/>
      <c r="P16" s="47"/>
      <c r="Q16" s="47"/>
      <c r="R16" s="47"/>
    </row>
    <row r="17" spans="2:18" ht="15.5" x14ac:dyDescent="0.35">
      <c r="B17" s="44" t="s">
        <v>50</v>
      </c>
      <c r="C17" s="44"/>
      <c r="D17" s="44"/>
      <c r="E17" s="44"/>
      <c r="F17" s="44"/>
      <c r="G17" s="44"/>
      <c r="H17" s="44"/>
      <c r="I17" s="44"/>
      <c r="J17" s="44"/>
      <c r="K17" s="44"/>
      <c r="L17" s="44"/>
      <c r="M17" s="44"/>
      <c r="N17" s="44"/>
      <c r="O17" s="44"/>
      <c r="P17" s="44"/>
      <c r="Q17" s="44"/>
      <c r="R17" s="44"/>
    </row>
    <row r="18" spans="2:18" x14ac:dyDescent="0.35">
      <c r="B18" s="49" t="s">
        <v>51</v>
      </c>
      <c r="C18" s="49"/>
      <c r="D18" s="49"/>
      <c r="E18" s="49"/>
      <c r="F18" s="49"/>
      <c r="G18" s="49"/>
      <c r="H18" s="49"/>
      <c r="I18" s="49"/>
      <c r="J18" s="49"/>
      <c r="K18" s="49"/>
      <c r="L18" s="49"/>
      <c r="M18" s="49"/>
      <c r="N18" s="49"/>
      <c r="O18" s="49"/>
      <c r="P18" s="49"/>
      <c r="Q18" s="49"/>
      <c r="R18" s="49"/>
    </row>
    <row r="19" spans="2:18" x14ac:dyDescent="0.35">
      <c r="B19" s="46" t="s">
        <v>52</v>
      </c>
      <c r="C19" s="46"/>
      <c r="D19" s="46"/>
      <c r="E19" s="46"/>
      <c r="F19" s="46"/>
      <c r="G19" s="46"/>
      <c r="H19" s="46"/>
      <c r="I19" s="46"/>
      <c r="J19" s="46"/>
      <c r="K19" s="46"/>
      <c r="L19" s="46"/>
      <c r="M19" s="46"/>
      <c r="N19" s="46"/>
      <c r="O19" s="46"/>
      <c r="P19" s="46"/>
      <c r="Q19" s="46"/>
      <c r="R19" s="46"/>
    </row>
    <row r="20" spans="2:18" x14ac:dyDescent="0.35">
      <c r="B20" s="17" t="s">
        <v>127</v>
      </c>
      <c r="C20" s="17"/>
      <c r="D20" s="17"/>
      <c r="E20" s="17"/>
      <c r="F20" s="17"/>
      <c r="G20" s="17"/>
      <c r="H20" s="17"/>
      <c r="I20" s="17"/>
      <c r="J20" s="17"/>
      <c r="K20" s="17"/>
      <c r="L20" s="17"/>
      <c r="M20" s="17"/>
      <c r="N20" s="17"/>
      <c r="O20" s="17"/>
      <c r="P20" s="17"/>
      <c r="Q20" s="17"/>
      <c r="R20" s="17"/>
    </row>
    <row r="21" spans="2:18" x14ac:dyDescent="0.35">
      <c r="B21" s="17"/>
      <c r="C21" s="17"/>
      <c r="D21" s="17"/>
      <c r="E21" s="17"/>
      <c r="F21" s="17"/>
      <c r="G21" s="17"/>
      <c r="H21" s="17"/>
      <c r="I21" s="17"/>
      <c r="J21" s="17"/>
      <c r="K21" s="17"/>
      <c r="L21" s="17"/>
      <c r="M21" s="17"/>
      <c r="N21" s="17"/>
      <c r="O21" s="17"/>
      <c r="P21" s="17"/>
      <c r="Q21" s="17"/>
      <c r="R21" s="17"/>
    </row>
    <row r="22" spans="2:18" s="14" customFormat="1" ht="14.5" customHeight="1" x14ac:dyDescent="0.35">
      <c r="B22" s="17" t="s">
        <v>128</v>
      </c>
      <c r="C22" s="17"/>
      <c r="D22" s="17"/>
      <c r="E22" s="17"/>
      <c r="F22" s="17"/>
      <c r="G22" s="17"/>
      <c r="H22" s="17"/>
      <c r="I22" s="17"/>
      <c r="J22" s="17"/>
      <c r="K22" s="17"/>
      <c r="L22" s="17"/>
      <c r="M22" s="17"/>
      <c r="N22" s="17"/>
      <c r="O22" s="17"/>
      <c r="P22" s="17"/>
      <c r="Q22" s="17"/>
      <c r="R22" s="17"/>
    </row>
    <row r="23" spans="2:18" s="14" customFormat="1" x14ac:dyDescent="0.35">
      <c r="B23" s="17"/>
      <c r="C23" s="17"/>
      <c r="D23" s="17"/>
      <c r="E23" s="17"/>
      <c r="F23" s="17"/>
      <c r="G23" s="17"/>
      <c r="H23" s="17"/>
      <c r="I23" s="17"/>
      <c r="J23" s="17"/>
      <c r="K23" s="17"/>
      <c r="L23" s="17"/>
      <c r="M23" s="17"/>
      <c r="N23" s="17"/>
      <c r="O23" s="17"/>
      <c r="P23" s="17"/>
      <c r="Q23" s="17"/>
      <c r="R23" s="17"/>
    </row>
    <row r="24" spans="2:18" s="14" customFormat="1" x14ac:dyDescent="0.35">
      <c r="B24" s="17" t="s">
        <v>129</v>
      </c>
      <c r="C24" s="17"/>
      <c r="D24" s="17"/>
      <c r="E24" s="17"/>
      <c r="F24" s="17"/>
      <c r="G24" s="17"/>
      <c r="H24" s="17"/>
      <c r="I24" s="17"/>
      <c r="J24" s="17"/>
      <c r="K24" s="17"/>
      <c r="L24" s="17"/>
      <c r="M24" s="17"/>
      <c r="N24" s="17"/>
      <c r="O24" s="17"/>
      <c r="P24" s="17"/>
      <c r="Q24" s="17"/>
      <c r="R24" s="17"/>
    </row>
    <row r="25" spans="2:18" s="14" customFormat="1" x14ac:dyDescent="0.35">
      <c r="B25" s="17"/>
      <c r="C25" s="17"/>
      <c r="D25" s="17"/>
      <c r="E25" s="17"/>
      <c r="F25" s="17"/>
      <c r="G25" s="17"/>
      <c r="H25" s="17"/>
      <c r="I25" s="17"/>
      <c r="J25" s="17"/>
      <c r="K25" s="17"/>
      <c r="L25" s="17"/>
      <c r="M25" s="17"/>
      <c r="N25" s="17"/>
      <c r="O25" s="17"/>
      <c r="P25" s="17"/>
      <c r="Q25" s="17"/>
      <c r="R25" s="17"/>
    </row>
    <row r="26" spans="2:18" s="14" customFormat="1" x14ac:dyDescent="0.35">
      <c r="B26" s="17"/>
      <c r="C26" s="17"/>
      <c r="D26" s="17"/>
      <c r="E26" s="17"/>
      <c r="F26" s="17"/>
      <c r="G26" s="17"/>
      <c r="H26" s="17"/>
      <c r="I26" s="17"/>
      <c r="J26" s="17"/>
      <c r="K26" s="17"/>
      <c r="L26" s="17"/>
      <c r="M26" s="17"/>
      <c r="N26" s="17"/>
      <c r="O26" s="17"/>
      <c r="P26" s="17"/>
      <c r="Q26" s="17"/>
      <c r="R26" s="17"/>
    </row>
    <row r="27" spans="2:18" x14ac:dyDescent="0.35">
      <c r="B27" s="48" t="s">
        <v>58</v>
      </c>
      <c r="C27" s="48"/>
      <c r="D27" s="48"/>
      <c r="E27" s="48"/>
      <c r="F27" s="48"/>
      <c r="G27" s="48"/>
      <c r="H27" s="48"/>
      <c r="I27" s="48"/>
      <c r="J27" s="48"/>
      <c r="K27" s="48"/>
      <c r="L27" s="48"/>
      <c r="M27" s="48"/>
      <c r="N27" s="48"/>
      <c r="O27" s="48"/>
      <c r="P27" s="48"/>
      <c r="Q27" s="48"/>
      <c r="R27" s="48"/>
    </row>
    <row r="28" spans="2:18" x14ac:dyDescent="0.35">
      <c r="B28" s="17" t="s">
        <v>82</v>
      </c>
      <c r="C28" s="17"/>
      <c r="D28" s="17"/>
      <c r="E28" s="17"/>
      <c r="F28" s="17"/>
      <c r="G28" s="17"/>
      <c r="H28" s="17"/>
      <c r="I28" s="17"/>
      <c r="J28" s="17"/>
      <c r="K28" s="17"/>
      <c r="L28" s="17"/>
      <c r="M28" s="17"/>
      <c r="N28" s="17"/>
      <c r="O28" s="17"/>
      <c r="P28" s="17"/>
      <c r="Q28" s="17"/>
      <c r="R28" s="17"/>
    </row>
    <row r="29" spans="2:18" x14ac:dyDescent="0.35">
      <c r="B29" s="17"/>
      <c r="C29" s="17"/>
      <c r="D29" s="17"/>
      <c r="E29" s="17"/>
      <c r="F29" s="17"/>
      <c r="G29" s="17"/>
      <c r="H29" s="17"/>
      <c r="I29" s="17"/>
      <c r="J29" s="17"/>
      <c r="K29" s="17"/>
      <c r="L29" s="17"/>
      <c r="M29" s="17"/>
      <c r="N29" s="17"/>
      <c r="O29" s="17"/>
      <c r="P29" s="17"/>
      <c r="Q29" s="17"/>
      <c r="R29" s="17"/>
    </row>
    <row r="30" spans="2:18" s="14" customFormat="1" x14ac:dyDescent="0.35">
      <c r="B30" s="17"/>
      <c r="C30" s="17"/>
      <c r="D30" s="17"/>
      <c r="E30" s="17"/>
      <c r="F30" s="17"/>
      <c r="G30" s="17"/>
      <c r="H30" s="17"/>
      <c r="I30" s="17"/>
      <c r="J30" s="17"/>
      <c r="K30" s="17"/>
      <c r="L30" s="17"/>
      <c r="M30" s="17"/>
      <c r="N30" s="17"/>
      <c r="O30" s="17"/>
      <c r="P30" s="17"/>
      <c r="Q30" s="17"/>
      <c r="R30" s="17"/>
    </row>
    <row r="31" spans="2:18" s="14" customFormat="1" x14ac:dyDescent="0.35">
      <c r="B31" s="17"/>
      <c r="C31" s="17"/>
      <c r="D31" s="17"/>
      <c r="E31" s="17"/>
      <c r="F31" s="17"/>
      <c r="G31" s="17"/>
      <c r="H31" s="17"/>
      <c r="I31" s="17"/>
      <c r="J31" s="17"/>
      <c r="K31" s="17"/>
      <c r="L31" s="17"/>
      <c r="M31" s="17"/>
      <c r="N31" s="17"/>
      <c r="O31" s="17"/>
      <c r="P31" s="17"/>
      <c r="Q31" s="17"/>
      <c r="R31" s="17"/>
    </row>
    <row r="32" spans="2:18" x14ac:dyDescent="0.35">
      <c r="B32" s="17" t="s">
        <v>135</v>
      </c>
      <c r="C32" s="17"/>
      <c r="D32" s="17"/>
      <c r="E32" s="17"/>
      <c r="F32" s="17"/>
      <c r="G32" s="17"/>
      <c r="H32" s="17"/>
      <c r="I32" s="17"/>
      <c r="J32" s="17"/>
      <c r="K32" s="17"/>
      <c r="L32" s="17"/>
      <c r="M32" s="17"/>
      <c r="N32" s="17"/>
      <c r="O32" s="17"/>
      <c r="P32" s="17"/>
      <c r="Q32" s="17"/>
      <c r="R32" s="17"/>
    </row>
    <row r="33" spans="2:18" s="14" customFormat="1" x14ac:dyDescent="0.35">
      <c r="B33" s="17"/>
      <c r="C33" s="17"/>
      <c r="D33" s="17"/>
      <c r="E33" s="17"/>
      <c r="F33" s="17"/>
      <c r="G33" s="17"/>
      <c r="H33" s="17"/>
      <c r="I33" s="17"/>
      <c r="J33" s="17"/>
      <c r="K33" s="17"/>
      <c r="L33" s="17"/>
      <c r="M33" s="17"/>
      <c r="N33" s="17"/>
      <c r="O33" s="17"/>
      <c r="P33" s="17"/>
      <c r="Q33" s="17"/>
      <c r="R33" s="17"/>
    </row>
    <row r="34" spans="2:18" s="14" customFormat="1" x14ac:dyDescent="0.35">
      <c r="B34" s="17"/>
      <c r="C34" s="17"/>
      <c r="D34" s="17"/>
      <c r="E34" s="17"/>
      <c r="F34" s="17"/>
      <c r="G34" s="17"/>
      <c r="H34" s="17"/>
      <c r="I34" s="17"/>
      <c r="J34" s="17"/>
      <c r="K34" s="17"/>
      <c r="L34" s="17"/>
      <c r="M34" s="17"/>
      <c r="N34" s="17"/>
      <c r="O34" s="17"/>
      <c r="P34" s="17"/>
      <c r="Q34" s="17"/>
      <c r="R34" s="17"/>
    </row>
    <row r="35" spans="2:18" x14ac:dyDescent="0.35">
      <c r="B35" s="46" t="s">
        <v>62</v>
      </c>
      <c r="C35" s="46"/>
      <c r="D35" s="46"/>
      <c r="E35" s="46"/>
      <c r="F35" s="46"/>
      <c r="G35" s="46"/>
      <c r="H35" s="46"/>
      <c r="I35" s="46"/>
      <c r="J35" s="46"/>
      <c r="K35" s="46"/>
      <c r="L35" s="46"/>
      <c r="M35" s="46"/>
      <c r="N35" s="46"/>
      <c r="O35" s="46"/>
      <c r="P35" s="46"/>
      <c r="Q35" s="46"/>
      <c r="R35" s="46"/>
    </row>
    <row r="36" spans="2:18" x14ac:dyDescent="0.35">
      <c r="B36" s="17" t="s">
        <v>130</v>
      </c>
      <c r="C36" s="17"/>
      <c r="D36" s="17"/>
      <c r="E36" s="17"/>
      <c r="F36" s="17"/>
      <c r="G36" s="17"/>
      <c r="H36" s="17"/>
      <c r="I36" s="17"/>
      <c r="J36" s="17"/>
      <c r="K36" s="17"/>
      <c r="L36" s="17"/>
      <c r="M36" s="17"/>
      <c r="N36" s="17"/>
      <c r="O36" s="17"/>
      <c r="P36" s="17"/>
      <c r="Q36" s="17"/>
      <c r="R36" s="17"/>
    </row>
    <row r="37" spans="2:18" x14ac:dyDescent="0.35">
      <c r="B37" s="17"/>
      <c r="C37" s="17"/>
      <c r="D37" s="17"/>
      <c r="E37" s="17"/>
      <c r="F37" s="17"/>
      <c r="G37" s="17"/>
      <c r="H37" s="17"/>
      <c r="I37" s="17"/>
      <c r="J37" s="17"/>
      <c r="K37" s="17"/>
      <c r="L37" s="17"/>
      <c r="M37" s="17"/>
      <c r="N37" s="17"/>
      <c r="O37" s="17"/>
      <c r="P37" s="17"/>
      <c r="Q37" s="17"/>
      <c r="R37" s="17"/>
    </row>
    <row r="38" spans="2:18" s="14" customFormat="1" x14ac:dyDescent="0.35">
      <c r="B38" s="17"/>
      <c r="C38" s="17"/>
      <c r="D38" s="17"/>
      <c r="E38" s="17"/>
      <c r="F38" s="17"/>
      <c r="G38" s="17"/>
      <c r="H38" s="17"/>
      <c r="I38" s="17"/>
      <c r="J38" s="17"/>
      <c r="K38" s="17"/>
      <c r="L38" s="17"/>
      <c r="M38" s="17"/>
      <c r="N38" s="17"/>
      <c r="O38" s="17"/>
      <c r="P38" s="17"/>
      <c r="Q38" s="17"/>
      <c r="R38" s="17"/>
    </row>
    <row r="39" spans="2:18" x14ac:dyDescent="0.35">
      <c r="B39" s="17" t="s">
        <v>131</v>
      </c>
      <c r="C39" s="17"/>
      <c r="D39" s="17"/>
      <c r="E39" s="17"/>
      <c r="F39" s="17"/>
      <c r="G39" s="17"/>
      <c r="H39" s="17"/>
      <c r="I39" s="17"/>
      <c r="J39" s="17"/>
      <c r="K39" s="17"/>
      <c r="L39" s="17"/>
      <c r="M39" s="17"/>
      <c r="N39" s="17"/>
      <c r="O39" s="17"/>
      <c r="P39" s="17"/>
      <c r="Q39" s="17"/>
      <c r="R39" s="17"/>
    </row>
    <row r="40" spans="2:18" s="14" customFormat="1" x14ac:dyDescent="0.35">
      <c r="B40" s="17"/>
      <c r="C40" s="17"/>
      <c r="D40" s="17"/>
      <c r="E40" s="17"/>
      <c r="F40" s="17"/>
      <c r="G40" s="17"/>
      <c r="H40" s="17"/>
      <c r="I40" s="17"/>
      <c r="J40" s="17"/>
      <c r="K40" s="17"/>
      <c r="L40" s="17"/>
      <c r="M40" s="17"/>
      <c r="N40" s="17"/>
      <c r="O40" s="17"/>
      <c r="P40" s="17"/>
      <c r="Q40" s="17"/>
      <c r="R40" s="17"/>
    </row>
    <row r="41" spans="2:18" s="14" customFormat="1" x14ac:dyDescent="0.35">
      <c r="B41" s="17" t="s">
        <v>113</v>
      </c>
      <c r="C41" s="17"/>
      <c r="D41" s="17"/>
      <c r="E41" s="17"/>
      <c r="F41" s="17"/>
      <c r="G41" s="17"/>
      <c r="H41" s="17"/>
      <c r="I41" s="17"/>
      <c r="J41" s="17"/>
      <c r="K41" s="17"/>
      <c r="L41" s="17"/>
      <c r="M41" s="17"/>
      <c r="N41" s="17"/>
      <c r="O41" s="17"/>
      <c r="P41" s="17"/>
      <c r="Q41" s="17"/>
      <c r="R41" s="17"/>
    </row>
    <row r="42" spans="2:18" s="14" customFormat="1" x14ac:dyDescent="0.35">
      <c r="B42" s="17" t="s">
        <v>112</v>
      </c>
      <c r="C42" s="17"/>
      <c r="D42" s="17"/>
      <c r="E42" s="17"/>
      <c r="F42" s="17"/>
      <c r="G42" s="17"/>
      <c r="H42" s="17"/>
      <c r="I42" s="17"/>
      <c r="J42" s="17"/>
      <c r="K42" s="17"/>
      <c r="L42" s="17"/>
      <c r="M42" s="17"/>
      <c r="N42" s="17"/>
      <c r="O42" s="17"/>
      <c r="P42" s="17"/>
      <c r="Q42" s="17"/>
      <c r="R42" s="17"/>
    </row>
    <row r="43" spans="2:18" s="14" customFormat="1" x14ac:dyDescent="0.35">
      <c r="B43" s="17" t="s">
        <v>114</v>
      </c>
      <c r="C43" s="17"/>
      <c r="D43" s="17"/>
      <c r="E43" s="17"/>
      <c r="F43" s="17"/>
      <c r="G43" s="17"/>
      <c r="H43" s="17"/>
      <c r="I43" s="17"/>
      <c r="J43" s="17"/>
      <c r="K43" s="17"/>
      <c r="L43" s="17"/>
      <c r="M43" s="17"/>
      <c r="N43" s="17"/>
      <c r="O43" s="17"/>
      <c r="P43" s="17"/>
      <c r="Q43" s="17"/>
      <c r="R43" s="17"/>
    </row>
    <row r="44" spans="2:18" s="14" customFormat="1" x14ac:dyDescent="0.35">
      <c r="B44" s="17"/>
      <c r="C44" s="17"/>
      <c r="D44" s="17"/>
      <c r="E44" s="17"/>
      <c r="F44" s="17"/>
      <c r="G44" s="17"/>
      <c r="H44" s="17"/>
      <c r="I44" s="17"/>
      <c r="J44" s="17"/>
      <c r="K44" s="17"/>
      <c r="L44" s="17"/>
      <c r="M44" s="17"/>
      <c r="N44" s="17"/>
      <c r="O44" s="17"/>
      <c r="P44" s="17"/>
      <c r="Q44" s="17"/>
      <c r="R44" s="17"/>
    </row>
    <row r="45" spans="2:18" s="14" customFormat="1" ht="14.5" customHeight="1" x14ac:dyDescent="0.35">
      <c r="B45" s="17" t="s">
        <v>115</v>
      </c>
      <c r="C45" s="17"/>
      <c r="D45" s="17"/>
      <c r="E45" s="17"/>
      <c r="F45" s="17"/>
      <c r="G45" s="17"/>
      <c r="H45" s="17"/>
      <c r="I45" s="17"/>
      <c r="J45" s="17"/>
      <c r="K45" s="17"/>
      <c r="L45" s="17"/>
      <c r="M45" s="17"/>
      <c r="N45" s="17"/>
      <c r="O45" s="17"/>
      <c r="P45" s="17"/>
      <c r="Q45" s="17"/>
      <c r="R45" s="17"/>
    </row>
    <row r="46" spans="2:18" s="14" customFormat="1" x14ac:dyDescent="0.35">
      <c r="B46" s="17" t="s">
        <v>116</v>
      </c>
      <c r="C46" s="17"/>
      <c r="D46" s="17"/>
      <c r="E46" s="17"/>
      <c r="F46" s="17"/>
      <c r="G46" s="17"/>
      <c r="H46" s="17"/>
      <c r="I46" s="17"/>
      <c r="J46" s="17"/>
      <c r="K46" s="17"/>
      <c r="L46" s="17"/>
      <c r="M46" s="17"/>
      <c r="N46" s="17"/>
      <c r="O46" s="17"/>
      <c r="P46" s="17"/>
      <c r="Q46" s="17"/>
      <c r="R46" s="17"/>
    </row>
    <row r="47" spans="2:18" s="14" customFormat="1" x14ac:dyDescent="0.35">
      <c r="B47" s="17"/>
      <c r="C47" s="17"/>
      <c r="D47" s="17"/>
      <c r="E47" s="17"/>
      <c r="F47" s="17"/>
      <c r="G47" s="17"/>
      <c r="H47" s="17"/>
      <c r="I47" s="17"/>
      <c r="J47" s="17"/>
      <c r="K47" s="17"/>
      <c r="L47" s="17"/>
      <c r="M47" s="17"/>
      <c r="N47" s="17"/>
      <c r="O47" s="17"/>
      <c r="P47" s="17"/>
      <c r="Q47" s="17"/>
      <c r="R47" s="17"/>
    </row>
    <row r="48" spans="2:18" s="14" customFormat="1" x14ac:dyDescent="0.35">
      <c r="B48" s="17"/>
      <c r="C48" s="17"/>
      <c r="D48" s="17"/>
      <c r="E48" s="17"/>
      <c r="F48" s="17"/>
      <c r="G48" s="17"/>
      <c r="H48" s="17"/>
      <c r="I48" s="17"/>
      <c r="J48" s="17"/>
      <c r="K48" s="17"/>
      <c r="L48" s="17"/>
      <c r="M48" s="17"/>
      <c r="N48" s="17"/>
      <c r="O48" s="17"/>
      <c r="P48" s="17"/>
      <c r="Q48" s="17"/>
      <c r="R48" s="17"/>
    </row>
    <row r="49" spans="2:18" s="14" customFormat="1" x14ac:dyDescent="0.35">
      <c r="B49" s="17" t="s">
        <v>117</v>
      </c>
      <c r="C49" s="17"/>
      <c r="D49" s="17"/>
      <c r="E49" s="17"/>
      <c r="F49" s="17"/>
      <c r="G49" s="17"/>
      <c r="H49" s="17"/>
      <c r="I49" s="17"/>
      <c r="J49" s="17"/>
      <c r="K49" s="17"/>
      <c r="L49" s="17"/>
      <c r="M49" s="17"/>
      <c r="N49" s="17"/>
      <c r="O49" s="17"/>
      <c r="P49" s="17"/>
      <c r="Q49" s="17"/>
      <c r="R49" s="17"/>
    </row>
    <row r="50" spans="2:18" s="14" customFormat="1" x14ac:dyDescent="0.35">
      <c r="B50" s="17"/>
      <c r="C50" s="17"/>
      <c r="D50" s="17"/>
      <c r="E50" s="17"/>
      <c r="F50" s="17"/>
      <c r="G50" s="17"/>
      <c r="H50" s="17"/>
      <c r="I50" s="17"/>
      <c r="J50" s="17"/>
      <c r="K50" s="17"/>
      <c r="L50" s="17"/>
      <c r="M50" s="17"/>
      <c r="N50" s="17"/>
      <c r="O50" s="17"/>
      <c r="P50" s="17"/>
      <c r="Q50" s="17"/>
      <c r="R50" s="17"/>
    </row>
    <row r="51" spans="2:18" x14ac:dyDescent="0.35">
      <c r="B51" s="46" t="s">
        <v>63</v>
      </c>
      <c r="C51" s="46"/>
      <c r="D51" s="46"/>
      <c r="E51" s="46"/>
      <c r="F51" s="46"/>
      <c r="G51" s="46"/>
      <c r="H51" s="46"/>
      <c r="I51" s="46"/>
      <c r="J51" s="46"/>
      <c r="K51" s="46"/>
      <c r="L51" s="46"/>
      <c r="M51" s="46"/>
      <c r="N51" s="46"/>
      <c r="O51" s="46"/>
      <c r="P51" s="46"/>
      <c r="Q51" s="46"/>
      <c r="R51" s="46"/>
    </row>
    <row r="52" spans="2:18" x14ac:dyDescent="0.35">
      <c r="B52" s="17" t="s">
        <v>83</v>
      </c>
      <c r="C52" s="17"/>
      <c r="D52" s="17"/>
      <c r="E52" s="17"/>
      <c r="F52" s="17"/>
      <c r="G52" s="17"/>
      <c r="H52" s="17"/>
      <c r="I52" s="17"/>
      <c r="J52" s="17"/>
      <c r="K52" s="17"/>
      <c r="L52" s="17"/>
      <c r="M52" s="17"/>
      <c r="N52" s="17"/>
      <c r="O52" s="17"/>
      <c r="P52" s="17"/>
      <c r="Q52" s="17"/>
      <c r="R52" s="17"/>
    </row>
    <row r="53" spans="2:18" x14ac:dyDescent="0.35">
      <c r="B53" s="17"/>
      <c r="C53" s="17"/>
      <c r="D53" s="17"/>
      <c r="E53" s="17"/>
      <c r="F53" s="17"/>
      <c r="G53" s="17"/>
      <c r="H53" s="17"/>
      <c r="I53" s="17"/>
      <c r="J53" s="17"/>
      <c r="K53" s="17"/>
      <c r="L53" s="17"/>
      <c r="M53" s="17"/>
      <c r="N53" s="17"/>
      <c r="O53" s="17"/>
      <c r="P53" s="17"/>
      <c r="Q53" s="17"/>
      <c r="R53" s="17"/>
    </row>
    <row r="54" spans="2:18" s="14" customFormat="1" x14ac:dyDescent="0.35">
      <c r="B54" s="17" t="s">
        <v>85</v>
      </c>
      <c r="C54" s="17"/>
      <c r="D54" s="17"/>
      <c r="E54" s="17"/>
      <c r="F54" s="17"/>
      <c r="G54" s="17"/>
      <c r="H54" s="17"/>
      <c r="I54" s="17"/>
      <c r="J54" s="17"/>
      <c r="K54" s="17"/>
      <c r="L54" s="17"/>
      <c r="M54" s="17"/>
      <c r="N54" s="17"/>
      <c r="O54" s="17"/>
      <c r="P54" s="17"/>
      <c r="Q54" s="17"/>
      <c r="R54" s="17"/>
    </row>
    <row r="55" spans="2:18" s="14" customFormat="1" x14ac:dyDescent="0.35">
      <c r="B55" s="17"/>
      <c r="C55" s="17"/>
      <c r="D55" s="17"/>
      <c r="E55" s="17"/>
      <c r="F55" s="17"/>
      <c r="G55" s="17"/>
      <c r="H55" s="17"/>
      <c r="I55" s="17"/>
      <c r="J55" s="17"/>
      <c r="K55" s="17"/>
      <c r="L55" s="17"/>
      <c r="M55" s="17"/>
      <c r="N55" s="17"/>
      <c r="O55" s="17"/>
      <c r="P55" s="17"/>
      <c r="Q55" s="17"/>
      <c r="R55" s="17"/>
    </row>
    <row r="56" spans="2:18" s="14" customFormat="1" x14ac:dyDescent="0.35">
      <c r="B56" s="17" t="s">
        <v>84</v>
      </c>
      <c r="C56" s="17"/>
      <c r="D56" s="17"/>
      <c r="E56" s="17"/>
      <c r="F56" s="17"/>
      <c r="G56" s="17"/>
      <c r="H56" s="17"/>
      <c r="I56" s="17"/>
      <c r="J56" s="17"/>
      <c r="K56" s="17"/>
      <c r="L56" s="17"/>
      <c r="M56" s="17"/>
      <c r="N56" s="17"/>
      <c r="O56" s="17"/>
      <c r="P56" s="17"/>
      <c r="Q56" s="17"/>
      <c r="R56" s="17"/>
    </row>
    <row r="57" spans="2:18" s="14" customFormat="1" x14ac:dyDescent="0.35">
      <c r="B57" s="17"/>
      <c r="C57" s="17"/>
      <c r="D57" s="17"/>
      <c r="E57" s="17"/>
      <c r="F57" s="17"/>
      <c r="G57" s="17"/>
      <c r="H57" s="17"/>
      <c r="I57" s="17"/>
      <c r="J57" s="17"/>
      <c r="K57" s="17"/>
      <c r="L57" s="17"/>
      <c r="M57" s="17"/>
      <c r="N57" s="17"/>
      <c r="O57" s="17"/>
      <c r="P57" s="17"/>
      <c r="Q57" s="17"/>
      <c r="R57" s="17"/>
    </row>
    <row r="58" spans="2:18" x14ac:dyDescent="0.35">
      <c r="B58" s="17" t="s">
        <v>86</v>
      </c>
      <c r="C58" s="17"/>
      <c r="D58" s="17"/>
      <c r="E58" s="17"/>
      <c r="F58" s="17"/>
      <c r="G58" s="17"/>
      <c r="H58" s="17"/>
      <c r="I58" s="17"/>
      <c r="J58" s="17"/>
      <c r="K58" s="17"/>
      <c r="L58" s="17"/>
      <c r="M58" s="17"/>
      <c r="N58" s="17"/>
      <c r="O58" s="17"/>
      <c r="P58" s="17"/>
      <c r="Q58" s="17"/>
      <c r="R58" s="17"/>
    </row>
    <row r="59" spans="2:18" x14ac:dyDescent="0.35">
      <c r="B59" s="17"/>
      <c r="C59" s="17"/>
      <c r="D59" s="17"/>
      <c r="E59" s="17"/>
      <c r="F59" s="17"/>
      <c r="G59" s="17"/>
      <c r="H59" s="17"/>
      <c r="I59" s="17"/>
      <c r="J59" s="17"/>
      <c r="K59" s="17"/>
      <c r="L59" s="17"/>
      <c r="M59" s="17"/>
      <c r="N59" s="17"/>
      <c r="O59" s="17"/>
      <c r="P59" s="17"/>
      <c r="Q59" s="17"/>
      <c r="R59" s="17"/>
    </row>
    <row r="60" spans="2:18" x14ac:dyDescent="0.35">
      <c r="B60" s="47"/>
      <c r="C60" s="47"/>
      <c r="D60" s="47"/>
      <c r="E60" s="47"/>
      <c r="F60" s="47"/>
      <c r="G60" s="47"/>
      <c r="H60" s="47"/>
      <c r="I60" s="47"/>
      <c r="J60" s="47"/>
      <c r="K60" s="47"/>
      <c r="L60" s="47"/>
      <c r="M60" s="47"/>
      <c r="N60" s="47"/>
      <c r="O60" s="47"/>
      <c r="P60" s="47"/>
      <c r="Q60" s="47"/>
      <c r="R60" s="47"/>
    </row>
    <row r="61" spans="2:18" ht="15.5" x14ac:dyDescent="0.35">
      <c r="B61" s="44" t="s">
        <v>118</v>
      </c>
      <c r="C61" s="44"/>
      <c r="D61" s="44"/>
      <c r="E61" s="44"/>
      <c r="F61" s="44"/>
      <c r="G61" s="44"/>
      <c r="H61" s="44"/>
      <c r="I61" s="44"/>
      <c r="J61" s="44"/>
      <c r="K61" s="44"/>
      <c r="L61" s="44"/>
      <c r="M61" s="44"/>
      <c r="N61" s="44"/>
      <c r="O61" s="44"/>
      <c r="P61" s="44"/>
      <c r="Q61" s="44"/>
      <c r="R61" s="44"/>
    </row>
    <row r="62" spans="2:18" ht="14.5" customHeight="1" x14ac:dyDescent="0.35">
      <c r="B62" s="50" t="s">
        <v>132</v>
      </c>
      <c r="C62" s="51"/>
      <c r="D62" s="51"/>
      <c r="E62" s="51"/>
      <c r="F62" s="51"/>
      <c r="G62" s="51"/>
      <c r="H62" s="51"/>
      <c r="I62" s="51"/>
      <c r="J62" s="51"/>
      <c r="K62" s="51"/>
      <c r="L62" s="51"/>
      <c r="M62" s="51"/>
      <c r="N62" s="51"/>
      <c r="O62" s="51"/>
      <c r="P62" s="51"/>
      <c r="Q62" s="51"/>
      <c r="R62" s="52"/>
    </row>
    <row r="63" spans="2:18" x14ac:dyDescent="0.35">
      <c r="B63" s="53"/>
      <c r="C63" s="54"/>
      <c r="D63" s="54"/>
      <c r="E63" s="54"/>
      <c r="F63" s="54"/>
      <c r="G63" s="54"/>
      <c r="H63" s="54"/>
      <c r="I63" s="54"/>
      <c r="J63" s="54"/>
      <c r="K63" s="54"/>
      <c r="L63" s="54"/>
      <c r="M63" s="54"/>
      <c r="N63" s="54"/>
      <c r="O63" s="54"/>
      <c r="P63" s="54"/>
      <c r="Q63" s="54"/>
      <c r="R63" s="55"/>
    </row>
    <row r="64" spans="2:18" x14ac:dyDescent="0.35">
      <c r="B64" s="53"/>
      <c r="C64" s="54"/>
      <c r="D64" s="54"/>
      <c r="E64" s="54"/>
      <c r="F64" s="54"/>
      <c r="G64" s="54"/>
      <c r="H64" s="54"/>
      <c r="I64" s="54"/>
      <c r="J64" s="54"/>
      <c r="K64" s="54"/>
      <c r="L64" s="54"/>
      <c r="M64" s="54"/>
      <c r="N64" s="54"/>
      <c r="O64" s="54"/>
      <c r="P64" s="54"/>
      <c r="Q64" s="54"/>
      <c r="R64" s="55"/>
    </row>
    <row r="65" spans="2:18" x14ac:dyDescent="0.35">
      <c r="B65" s="53"/>
      <c r="C65" s="54"/>
      <c r="D65" s="54"/>
      <c r="E65" s="54"/>
      <c r="F65" s="54"/>
      <c r="G65" s="54"/>
      <c r="H65" s="54"/>
      <c r="I65" s="54"/>
      <c r="J65" s="54"/>
      <c r="K65" s="54"/>
      <c r="L65" s="54"/>
      <c r="M65" s="54"/>
      <c r="N65" s="54"/>
      <c r="O65" s="54"/>
      <c r="P65" s="54"/>
      <c r="Q65" s="54"/>
      <c r="R65" s="55"/>
    </row>
    <row r="66" spans="2:18" x14ac:dyDescent="0.35">
      <c r="B66" s="53"/>
      <c r="C66" s="54"/>
      <c r="D66" s="54"/>
      <c r="E66" s="54"/>
      <c r="F66" s="54"/>
      <c r="G66" s="54"/>
      <c r="H66" s="54"/>
      <c r="I66" s="54"/>
      <c r="J66" s="54"/>
      <c r="K66" s="54"/>
      <c r="L66" s="54"/>
      <c r="M66" s="54"/>
      <c r="N66" s="54"/>
      <c r="O66" s="54"/>
      <c r="P66" s="54"/>
      <c r="Q66" s="54"/>
      <c r="R66" s="55"/>
    </row>
    <row r="67" spans="2:18" x14ac:dyDescent="0.35">
      <c r="B67" s="56"/>
      <c r="C67" s="57"/>
      <c r="D67" s="57"/>
      <c r="E67" s="57"/>
      <c r="F67" s="57"/>
      <c r="G67" s="57"/>
      <c r="H67" s="57"/>
      <c r="I67" s="57"/>
      <c r="J67" s="57"/>
      <c r="K67" s="57"/>
      <c r="L67" s="57"/>
      <c r="M67" s="57"/>
      <c r="N67" s="57"/>
      <c r="O67" s="57"/>
      <c r="P67" s="57"/>
      <c r="Q67" s="57"/>
      <c r="R67" s="58"/>
    </row>
    <row r="68" spans="2:18" ht="14.5" customHeight="1" x14ac:dyDescent="0.35">
      <c r="B68" s="50" t="s">
        <v>124</v>
      </c>
      <c r="C68" s="51"/>
      <c r="D68" s="51"/>
      <c r="E68" s="51"/>
      <c r="F68" s="51"/>
      <c r="G68" s="51"/>
      <c r="H68" s="51"/>
      <c r="I68" s="51"/>
      <c r="J68" s="51"/>
      <c r="K68" s="51"/>
      <c r="L68" s="51"/>
      <c r="M68" s="51"/>
      <c r="N68" s="51"/>
      <c r="O68" s="51"/>
      <c r="P68" s="51"/>
      <c r="Q68" s="51"/>
      <c r="R68" s="52"/>
    </row>
    <row r="69" spans="2:18" x14ac:dyDescent="0.35">
      <c r="B69" s="53"/>
      <c r="C69" s="54"/>
      <c r="D69" s="54"/>
      <c r="E69" s="54"/>
      <c r="F69" s="54"/>
      <c r="G69" s="54"/>
      <c r="H69" s="54"/>
      <c r="I69" s="54"/>
      <c r="J69" s="54"/>
      <c r="K69" s="54"/>
      <c r="L69" s="54"/>
      <c r="M69" s="54"/>
      <c r="N69" s="54"/>
      <c r="O69" s="54"/>
      <c r="P69" s="54"/>
      <c r="Q69" s="54"/>
      <c r="R69" s="55"/>
    </row>
    <row r="70" spans="2:18" x14ac:dyDescent="0.35">
      <c r="B70" s="53"/>
      <c r="C70" s="54"/>
      <c r="D70" s="54"/>
      <c r="E70" s="54"/>
      <c r="F70" s="54"/>
      <c r="G70" s="54"/>
      <c r="H70" s="54"/>
      <c r="I70" s="54"/>
      <c r="J70" s="54"/>
      <c r="K70" s="54"/>
      <c r="L70" s="54"/>
      <c r="M70" s="54"/>
      <c r="N70" s="54"/>
      <c r="O70" s="54"/>
      <c r="P70" s="54"/>
      <c r="Q70" s="54"/>
      <c r="R70" s="55"/>
    </row>
    <row r="71" spans="2:18" x14ac:dyDescent="0.35">
      <c r="B71" s="56"/>
      <c r="C71" s="57"/>
      <c r="D71" s="57"/>
      <c r="E71" s="57"/>
      <c r="F71" s="57"/>
      <c r="G71" s="57"/>
      <c r="H71" s="57"/>
      <c r="I71" s="57"/>
      <c r="J71" s="57"/>
      <c r="K71" s="57"/>
      <c r="L71" s="57"/>
      <c r="M71" s="57"/>
      <c r="N71" s="57"/>
      <c r="O71" s="57"/>
      <c r="P71" s="57"/>
      <c r="Q71" s="57"/>
      <c r="R71" s="58"/>
    </row>
    <row r="72" spans="2:18" x14ac:dyDescent="0.35">
      <c r="B72" s="16"/>
      <c r="C72" s="16"/>
      <c r="D72" s="16"/>
      <c r="E72" s="16"/>
      <c r="F72" s="16"/>
      <c r="G72" s="16"/>
      <c r="H72" s="16"/>
      <c r="I72" s="16"/>
      <c r="J72" s="16"/>
      <c r="K72" s="16"/>
      <c r="L72" s="16"/>
      <c r="M72" s="16"/>
      <c r="N72" s="16"/>
      <c r="O72" s="16"/>
      <c r="P72" s="16"/>
      <c r="Q72" s="16"/>
      <c r="R72" s="16"/>
    </row>
  </sheetData>
  <mergeCells count="37">
    <mergeCell ref="B60:R60"/>
    <mergeCell ref="B61:R61"/>
    <mergeCell ref="B62:R67"/>
    <mergeCell ref="B68:R71"/>
    <mergeCell ref="B54:R55"/>
    <mergeCell ref="B56:R57"/>
    <mergeCell ref="B51:R51"/>
    <mergeCell ref="B52:R53"/>
    <mergeCell ref="B58:R59"/>
    <mergeCell ref="B4:R4"/>
    <mergeCell ref="B12:R12"/>
    <mergeCell ref="B20:R21"/>
    <mergeCell ref="B27:R27"/>
    <mergeCell ref="B35:R35"/>
    <mergeCell ref="B16:R16"/>
    <mergeCell ref="B17:R17"/>
    <mergeCell ref="B18:R18"/>
    <mergeCell ref="B19:R19"/>
    <mergeCell ref="B41:R41"/>
    <mergeCell ref="B42:R42"/>
    <mergeCell ref="B43:R44"/>
    <mergeCell ref="B5:R6"/>
    <mergeCell ref="B7:R9"/>
    <mergeCell ref="B10:R11"/>
    <mergeCell ref="B49:R50"/>
    <mergeCell ref="B2:R2"/>
    <mergeCell ref="B3:R3"/>
    <mergeCell ref="B46:R48"/>
    <mergeCell ref="B22:R23"/>
    <mergeCell ref="B24:R26"/>
    <mergeCell ref="B36:R38"/>
    <mergeCell ref="B39:R40"/>
    <mergeCell ref="B32:R34"/>
    <mergeCell ref="B45:R45"/>
    <mergeCell ref="B13:R13"/>
    <mergeCell ref="B14:R15"/>
    <mergeCell ref="B28:R3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96A26403-3806-4E9B-9431-85AFD3A2E534}">
  <ds:schemaRefs/>
</ds:datastoreItem>
</file>

<file path=customXml/itemProps2.xml><?xml version="1.0" encoding="utf-8"?>
<ds:datastoreItem xmlns:ds="http://schemas.openxmlformats.org/officeDocument/2006/customXml" ds:itemID="{BA7CE9EF-0825-46D4-B568-7CA8A1B3D2EB}">
  <ds:schemaRefs/>
</ds:datastoreItem>
</file>

<file path=customXml/itemProps3.xml><?xml version="1.0" encoding="utf-8"?>
<ds:datastoreItem xmlns:ds="http://schemas.openxmlformats.org/officeDocument/2006/customXml" ds:itemID="{8A7FA176-BDC2-44A3-A137-F355FD0AA680}">
  <ds:schemaRefs/>
</ds:datastoreItem>
</file>

<file path=customXml/itemProps4.xml><?xml version="1.0" encoding="utf-8"?>
<ds:datastoreItem xmlns:ds="http://schemas.openxmlformats.org/officeDocument/2006/customXml" ds:itemID="{9DD87262-85D4-44D6-8E33-D99FC571E7D5}">
  <ds:schemaRefs/>
</ds:datastoreItem>
</file>

<file path=customXml/itemProps5.xml><?xml version="1.0" encoding="utf-8"?>
<ds:datastoreItem xmlns:ds="http://schemas.openxmlformats.org/officeDocument/2006/customXml" ds:itemID="{FC6F2638-7675-4896-9E51-2890F60D6F7E}">
  <ds:schemaRefs/>
</ds:datastoreItem>
</file>

<file path=customXml/itemProps6.xml><?xml version="1.0" encoding="utf-8"?>
<ds:datastoreItem xmlns:ds="http://schemas.openxmlformats.org/officeDocument/2006/customXml" ds:itemID="{9D402EBF-8283-4239-A4D9-1C30AA30DFD5}">
  <ds:schemaRefs>
    <ds:schemaRef ds:uri="http://schemas.microsoft.com/DataMashup"/>
  </ds:schemaRefs>
</ds:datastoreItem>
</file>

<file path=customXml/itemProps7.xml><?xml version="1.0" encoding="utf-8"?>
<ds:datastoreItem xmlns:ds="http://schemas.openxmlformats.org/officeDocument/2006/customXml" ds:itemID="{759718E9-53F0-465B-BFB7-C2A5174EE4BC}">
  <ds:schemaRefs/>
</ds:datastoreItem>
</file>

<file path=customXml/itemProps8.xml><?xml version="1.0" encoding="utf-8"?>
<ds:datastoreItem xmlns:ds="http://schemas.openxmlformats.org/officeDocument/2006/customXml" ds:itemID="{700A85AF-16CA-44B1-9676-48CD336D36D9}">
  <ds:schemaRefs/>
</ds:datastoreItem>
</file>

<file path=customXml/itemProps9.xml><?xml version="1.0" encoding="utf-8"?>
<ds:datastoreItem xmlns:ds="http://schemas.openxmlformats.org/officeDocument/2006/customXml" ds:itemID="{411FCC1B-9434-457B-BED7-539302FC1E6E}">
  <ds:schemaRefs/>
</ds:datastoreItem>
</file>

<file path=customXml/itemProps10.xml><?xml version="1.0" encoding="utf-8"?>
<ds:datastoreItem xmlns:ds="http://schemas.openxmlformats.org/officeDocument/2006/customXml" ds:itemID="{83CA7DC0-784D-4D89-B8EA-182AD402CCA8}">
  <ds:schemaRefs/>
</ds:datastoreItem>
</file>

<file path=customXml/itemProps11.xml><?xml version="1.0" encoding="utf-8"?>
<ds:datastoreItem xmlns:ds="http://schemas.openxmlformats.org/officeDocument/2006/customXml" ds:itemID="{4F633BC4-4D37-4F14-AC27-567F6EFC7617}">
  <ds:schemaRefs/>
</ds:datastoreItem>
</file>

<file path=customXml/itemProps12.xml><?xml version="1.0" encoding="utf-8"?>
<ds:datastoreItem xmlns:ds="http://schemas.openxmlformats.org/officeDocument/2006/customXml" ds:itemID="{205462F4-99CF-4D8C-A20A-1DE2B04FBB95}">
  <ds:schemaRefs/>
</ds:datastoreItem>
</file>

<file path=customXml/itemProps13.xml><?xml version="1.0" encoding="utf-8"?>
<ds:datastoreItem xmlns:ds="http://schemas.openxmlformats.org/officeDocument/2006/customXml" ds:itemID="{B3161E8D-EA24-4A3E-91AC-5447CC429E18}">
  <ds:schemaRefs/>
</ds:datastoreItem>
</file>

<file path=customXml/itemProps14.xml><?xml version="1.0" encoding="utf-8"?>
<ds:datastoreItem xmlns:ds="http://schemas.openxmlformats.org/officeDocument/2006/customXml" ds:itemID="{6638038F-CFE1-4E23-B942-ED5FB6DD453C}">
  <ds:schemaRefs/>
</ds:datastoreItem>
</file>

<file path=customXml/itemProps15.xml><?xml version="1.0" encoding="utf-8"?>
<ds:datastoreItem xmlns:ds="http://schemas.openxmlformats.org/officeDocument/2006/customXml" ds:itemID="{B9E2B148-E63B-4A2D-960D-FCAF550133EB}">
  <ds:schemaRefs/>
</ds:datastoreItem>
</file>

<file path=customXml/itemProps16.xml><?xml version="1.0" encoding="utf-8"?>
<ds:datastoreItem xmlns:ds="http://schemas.openxmlformats.org/officeDocument/2006/customXml" ds:itemID="{1406FA98-353F-422F-8245-196D891222B7}">
  <ds:schemaRefs/>
</ds:datastoreItem>
</file>

<file path=customXml/itemProps17.xml><?xml version="1.0" encoding="utf-8"?>
<ds:datastoreItem xmlns:ds="http://schemas.openxmlformats.org/officeDocument/2006/customXml" ds:itemID="{9D2407AC-1785-40FA-95C9-C7AD998CC98A}">
  <ds:schemaRefs/>
</ds:datastoreItem>
</file>

<file path=customXml/itemProps18.xml><?xml version="1.0" encoding="utf-8"?>
<ds:datastoreItem xmlns:ds="http://schemas.openxmlformats.org/officeDocument/2006/customXml" ds:itemID="{14D79C95-8D66-4BA5-BC94-70EBCDFA7297}">
  <ds:schemaRefs/>
</ds:datastoreItem>
</file>

<file path=customXml/itemProps19.xml><?xml version="1.0" encoding="utf-8"?>
<ds:datastoreItem xmlns:ds="http://schemas.openxmlformats.org/officeDocument/2006/customXml" ds:itemID="{035714F1-B6C7-497A-B697-C50F2D72B4F7}">
  <ds:schemaRefs/>
</ds:datastoreItem>
</file>

<file path=customXml/itemProps20.xml><?xml version="1.0" encoding="utf-8"?>
<ds:datastoreItem xmlns:ds="http://schemas.openxmlformats.org/officeDocument/2006/customXml" ds:itemID="{7A452927-44BF-4C0F-B2C9-5F17265B9478}">
  <ds:schemaRefs/>
</ds:datastoreItem>
</file>

<file path=customXml/itemProps21.xml><?xml version="1.0" encoding="utf-8"?>
<ds:datastoreItem xmlns:ds="http://schemas.openxmlformats.org/officeDocument/2006/customXml" ds:itemID="{8DDF2B97-7C0D-4127-B572-15E2CB2864D9}">
  <ds:schemaRefs/>
</ds:datastoreItem>
</file>

<file path=customXml/itemProps22.xml><?xml version="1.0" encoding="utf-8"?>
<ds:datastoreItem xmlns:ds="http://schemas.openxmlformats.org/officeDocument/2006/customXml" ds:itemID="{45ABFC79-64FB-4203-94F0-7783EF3BEF3E}">
  <ds:schemaRefs/>
</ds:datastoreItem>
</file>

<file path=customXml/itemProps23.xml><?xml version="1.0" encoding="utf-8"?>
<ds:datastoreItem xmlns:ds="http://schemas.openxmlformats.org/officeDocument/2006/customXml" ds:itemID="{02BEE01C-FE03-4DF4-A22C-4D5496387147}">
  <ds:schemaRefs/>
</ds:datastoreItem>
</file>

<file path=customXml/itemProps24.xml><?xml version="1.0" encoding="utf-8"?>
<ds:datastoreItem xmlns:ds="http://schemas.openxmlformats.org/officeDocument/2006/customXml" ds:itemID="{C6FBEEB8-E0F6-4E83-985C-EF76DE060A17}">
  <ds:schemaRefs/>
</ds:datastoreItem>
</file>

<file path=customXml/itemProps25.xml><?xml version="1.0" encoding="utf-8"?>
<ds:datastoreItem xmlns:ds="http://schemas.openxmlformats.org/officeDocument/2006/customXml" ds:itemID="{85DB3041-AC52-4355-9823-D0F4757C44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Overview</vt:lpstr>
      <vt:lpstr>Pivot Analysis</vt:lpstr>
      <vt:lpstr>ChartData</vt:lpstr>
      <vt:lpstr>PortRef</vt:lpstr>
      <vt:lpstr>Dashboard</vt:lpstr>
      <vt:lpstr>Engineering &amp;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Taiwo</dc:creator>
  <cp:lastModifiedBy>Taiwo</cp:lastModifiedBy>
  <dcterms:created xsi:type="dcterms:W3CDTF">2026-09-03T07:46:01Z</dcterms:created>
  <dcterms:modified xsi:type="dcterms:W3CDTF">2026-09-22T11:58:40Z</dcterms:modified>
</cp:coreProperties>
</file>